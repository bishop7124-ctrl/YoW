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cc4cbd5b524258" /></Relationships>
</file>

<file path=xl/workbook.xml><?xml version="1.0" encoding="utf-8"?>
<x:workbook xmlns:x="http://schemas.openxmlformats.org/spreadsheetml/2006/main">
  <x:sheets>
    <x:sheet xmlns:r="http://schemas.openxmlformats.org/officeDocument/2006/relationships" name="Start Here" sheetId="1" r:id="Rc41334b631c24f76"/>
    <x:sheet xmlns:r="http://schemas.openxmlformats.org/officeDocument/2006/relationships" name="Daily Guide" sheetId="2" r:id="R683000167914462d"/>
    <x:sheet xmlns:r="http://schemas.openxmlformats.org/officeDocument/2006/relationships" name="Calendar" sheetId="3" r:id="R2c503a7206dc4f59"/>
    <x:sheet xmlns:r="http://schemas.openxmlformats.org/officeDocument/2006/relationships" name="Glossary" sheetId="4" r:id="R3d1264653fa746e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d d mmm"/>
  </x:numFmts>
  <x:fonts count="10">
    <x:font>
      <x:sz val="11"/>
      <x:name val="Carlito"/>
    </x:font>
    <x:font>
      <x:b/>
      <x:sz val="16"/>
      <x:color rgb="FF17324D"/>
      <x:name val="Arial"/>
    </x:font>
    <x:font>
      <x:i/>
      <x:sz val="10"/>
      <x:color rgb="FF566573"/>
      <x:name val="Arial"/>
    </x:font>
    <x:font>
      <x:b/>
      <x:sz val="11"/>
      <x:color rgb="FFFFFFFF"/>
      <x:name val="Arial"/>
    </x:font>
    <x:font>
      <x:sz val="10"/>
      <x:color rgb="FF243442"/>
      <x:name val="Arial"/>
    </x:font>
    <x:font>
      <x:b/>
      <x:sz val="10"/>
      <x:color rgb="FF17324D"/>
      <x:name val="Arial"/>
    </x:font>
    <x:font>
      <x:b/>
      <x:sz val="11"/>
      <x:color rgb="FF17324D"/>
      <x:name val="Arial"/>
    </x:font>
    <x:font>
      <x:sz val="10"/>
      <x:color rgb="FF5A4625"/>
      <x:name val="Arial"/>
    </x:font>
    <x:font>
      <x:b/>
      <x:sz val="10"/>
      <x:color rgb="FFFFFFFF"/>
      <x:name val="Arial"/>
    </x:font>
    <x:font>
      <x:sz val="9"/>
      <x:color rgb="FF243442"/>
      <x:name val="Arial"/>
    </x:font>
  </x:fonts>
  <x:fills count="15">
    <x:fill>
      <x:patternFill patternType="none"/>
    </x:fill>
    <x:fill>
      <x:patternFill patternType="gray125"/>
    </x:fill>
    <x:fill>
      <x:patternFill patternType="solid">
        <x:fgColor rgb="FF17324D"/>
      </x:patternFill>
    </x:fill>
    <x:fill>
      <x:patternFill patternType="solid">
        <x:fgColor rgb="FFF7F9FA"/>
      </x:patternFill>
    </x:fill>
    <x:fill>
      <x:patternFill patternType="solid">
        <x:fgColor rgb="FFF3F6F8"/>
      </x:patternFill>
    </x:fill>
    <x:fill>
      <x:patternFill patternType="solid">
        <x:fgColor rgb="FFFFF7E6"/>
      </x:patternFill>
    </x:fill>
    <x:fill>
      <x:patternFill patternType="solid">
        <x:fgColor rgb="FFDCEAF7"/>
      </x:patternFill>
    </x:fill>
    <x:fill>
      <x:patternFill patternType="solid">
        <x:fgColor rgb="FFE9E1F5"/>
      </x:patternFill>
    </x:fill>
    <x:fill>
      <x:patternFill patternType="solid">
        <x:fgColor rgb="FFFCE8E6"/>
      </x:patternFill>
    </x:fill>
    <x:fill>
      <x:patternFill patternType="solid">
        <x:fgColor rgb="FFDFF1E8"/>
      </x:patternFill>
    </x:fill>
    <x:fill>
      <x:patternFill patternType="solid">
        <x:fgColor rgb="FFFDF1D5"/>
      </x:patternFill>
    </x:fill>
    <x:fill>
      <x:patternFill patternType="solid">
        <x:fgColor rgb="FFD4E8E6"/>
      </x:patternFill>
    </x:fill>
    <x:fill>
      <x:patternFill patternType="solid">
        <x:fgColor rgb="FFB9DED7"/>
      </x:patternFill>
    </x:fill>
    <x:fill>
      <x:patternFill patternType="solid">
        <x:fgColor rgb="FFFFFFFF"/>
      </x:patternFill>
    </x:fill>
    <x:fill>
      <x:patternFill patternType="solid">
        <x:fgColor rgb="FFF3EEF9"/>
      </x:patternFill>
    </x:fill>
  </x:fills>
  <x:borders count="24">
    <x:border/>
    <x:border>
      <x:left style="thin">
        <x:color rgb="FFC9D3DC"/>
      </x:left>
      <x:top style="thin">
        <x:color rgb="FFC9D3DC"/>
      </x:top>
    </x:border>
    <x:border>
      <x:top style="thin">
        <x:color rgb="FFC9D3DC"/>
      </x:top>
    </x:border>
    <x:border>
      <x:right style="thin">
        <x:color rgb="FFC9D3DC"/>
      </x:right>
      <x:top style="thin">
        <x:color rgb="FFC9D3DC"/>
      </x:top>
    </x:border>
    <x:border>
      <x:left style="thin">
        <x:color rgb="FFC9D3DC"/>
      </x:left>
    </x:border>
    <x:border>
      <x:right style="thin">
        <x:color rgb="FFC9D3DC"/>
      </x:right>
    </x:border>
    <x:border>
      <x:left style="thin">
        <x:color rgb="FFC9D3DC"/>
      </x:left>
      <x:bottom style="thin">
        <x:color rgb="FFC9D3DC"/>
      </x:bottom>
    </x:border>
    <x:border>
      <x:bottom style="thin">
        <x:color rgb="FFC9D3DC"/>
      </x:bottom>
    </x:border>
    <x:border>
      <x:right style="thin">
        <x:color rgb="FFC9D3DC"/>
      </x:right>
      <x:bottom style="thin">
        <x:color rgb="FFC9D3DC"/>
      </x:bottom>
    </x:border>
    <x:border>
      <x:left style="thin">
        <x:color rgb="FFE8C980"/>
      </x:left>
      <x:top style="thin">
        <x:color rgb="FFE8C980"/>
      </x:top>
    </x:border>
    <x:border>
      <x:top style="thin">
        <x:color rgb="FFE8C980"/>
      </x:top>
    </x:border>
    <x:border>
      <x:right style="thin">
        <x:color rgb="FFE8C980"/>
      </x:right>
      <x:top style="thin">
        <x:color rgb="FFE8C980"/>
      </x:top>
    </x:border>
    <x:border>
      <x:left style="thin">
        <x:color rgb="FFE8C980"/>
      </x:left>
    </x:border>
    <x:border>
      <x:right style="thin">
        <x:color rgb="FFE8C980"/>
      </x:right>
    </x:border>
    <x:border>
      <x:left style="thin">
        <x:color rgb="FFE8C980"/>
      </x:left>
      <x:bottom style="thin">
        <x:color rgb="FFE8C980"/>
      </x:bottom>
    </x:border>
    <x:border>
      <x:bottom style="thin">
        <x:color rgb="FFE8C980"/>
      </x:bottom>
    </x:border>
    <x:border>
      <x:right style="thin">
        <x:color rgb="FFE8C980"/>
      </x:right>
      <x:bottom style="thin">
        <x:color rgb="FFE8C980"/>
      </x:bottom>
    </x:border>
    <x:border>
      <x:bottom style="thin">
        <x:color rgb="FFDDE3E8"/>
      </x:bottom>
    </x:border>
    <x:border>
      <x:top style="thin">
        <x:color rgb="FFDDE3E8"/>
      </x:top>
      <x:bottom style="thin">
        <x:color rgb="FFDDE3E8"/>
      </x:bottom>
    </x:border>
    <x:border>
      <x:top style="thin">
        <x:color rgb="FFDDE3E8"/>
      </x:top>
      <x:bottom style="thin">
        <x:color rgb="FFAAB7C2"/>
      </x:bottom>
    </x:border>
    <x:border>
      <x:left style="thin">
        <x:color rgb="FFAAB7C2"/>
      </x:left>
      <x:top style="thin">
        <x:color rgb="FFAAB7C2"/>
      </x:top>
      <x:bottom style="thin">
        <x:color rgb="FFAAB7C2"/>
      </x:bottom>
    </x:border>
    <x:border>
      <x:top style="thin">
        <x:color rgb="FFAAB7C2"/>
      </x:top>
      <x:bottom style="thin">
        <x:color rgb="FFAAB7C2"/>
      </x:bottom>
    </x:border>
    <x:border>
      <x:right style="thin">
        <x:color rgb="FFAAB7C2"/>
      </x:right>
      <x:top style="thin">
        <x:color rgb="FFAAB7C2"/>
      </x:top>
      <x:bottom style="thin">
        <x:color rgb="FFAAB7C2"/>
      </x:bottom>
    </x:border>
    <x:border>
      <x:top style="thin">
        <x:color rgb="FFDDE3E8"/>
      </x:top>
    </x:border>
  </x:borders>
  <x:cellStyleXfs count="1">
    <x:xf numFmtId="0" fontId="0" fillId="0" borderId="0"/>
  </x:cellStyleXfs>
  <x:cellXfs count="234">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4" fillId="3" borderId="2" xfId="0" applyNumberFormat="1" applyFont="1" applyFill="1" applyBorder="1"/>
    <x:xf numFmtId="0" fontId="4" fillId="3" borderId="3" xfId="0" applyNumberFormat="1" applyFont="1" applyFill="1" applyBorder="1"/>
    <x:xf numFmtId="0" fontId="4" fillId="3" borderId="4" xfId="0" applyNumberFormat="1" applyFont="1" applyFill="1" applyBorder="1"/>
    <x:xf numFmtId="0" fontId="4" fillId="3" borderId="5" xfId="0" applyNumberFormat="1" applyFont="1" applyFill="1" applyBorder="1"/>
    <x:xf numFmtId="0" fontId="4" fillId="3" borderId="6" xfId="0" applyNumberFormat="1" applyFont="1" applyFill="1" applyBorder="1"/>
    <x:xf numFmtId="0" fontId="4" fillId="3" borderId="7" xfId="0" applyNumberFormat="1" applyFont="1" applyFill="1" applyBorder="1"/>
    <x:xf numFmtId="0" fontId="4" fillId="3" borderId="8" xfId="0" applyNumberFormat="1" applyFont="1" applyFill="1" applyBorder="1"/>
    <x:xf numFmtId="0" fontId="4" fillId="3" borderId="1" xfId="0" applyNumberFormat="1" applyFont="1" applyFill="1" applyBorder="1" applyAlignment="1">
      <x:alignment wrapText="1"/>
    </x:xf>
    <x:xf numFmtId="0" fontId="4" fillId="3" borderId="2" xfId="0" applyNumberFormat="1" applyFont="1" applyFill="1" applyBorder="1" applyAlignment="1">
      <x:alignment wrapText="1"/>
    </x:xf>
    <x:xf numFmtId="0" fontId="4" fillId="3" borderId="3" xfId="0" applyNumberFormat="1" applyFont="1" applyFill="1" applyBorder="1" applyAlignment="1">
      <x:alignment wrapText="1"/>
    </x:xf>
    <x:xf numFmtId="0" fontId="4" fillId="3" borderId="4"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5" xfId="0" applyNumberFormat="1" applyFont="1" applyFill="1" applyBorder="1" applyAlignment="1">
      <x:alignment wrapText="1"/>
    </x:xf>
    <x:xf numFmtId="0" fontId="4" fillId="3" borderId="6" xfId="0" applyNumberFormat="1" applyFont="1" applyFill="1" applyBorder="1" applyAlignment="1">
      <x:alignment wrapText="1"/>
    </x:xf>
    <x:xf numFmtId="0" fontId="4" fillId="3" borderId="7" xfId="0" applyNumberFormat="1" applyFont="1" applyFill="1" applyBorder="1" applyAlignment="1">
      <x:alignment wrapText="1"/>
    </x:xf>
    <x:xf numFmtId="0" fontId="4" fillId="3" borderId="8" xfId="0" applyNumberFormat="1" applyFont="1" applyFill="1" applyBorder="1" applyAlignment="1">
      <x:alignment wrapText="1"/>
    </x:xf>
    <x:xf numFmtId="0" fontId="4" fillId="3" borderId="1" xfId="0" applyNumberFormat="1" applyFont="1" applyFill="1" applyBorder="1" applyAlignment="1">
      <x:alignment vertical="top" wrapText="1"/>
    </x:xf>
    <x:xf numFmtId="0" fontId="4" fillId="3" borderId="2" xfId="0" applyNumberFormat="1" applyFont="1" applyFill="1" applyBorder="1" applyAlignment="1">
      <x:alignment vertical="top" wrapText="1"/>
    </x:xf>
    <x:xf numFmtId="0" fontId="4" fillId="3" borderId="3" xfId="0" applyNumberFormat="1" applyFont="1" applyFill="1" applyBorder="1" applyAlignment="1">
      <x:alignment vertical="top" wrapText="1"/>
    </x:xf>
    <x:xf numFmtId="0" fontId="4" fillId="3" borderId="4"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5" xfId="0" applyNumberFormat="1" applyFont="1" applyFill="1" applyBorder="1" applyAlignment="1">
      <x:alignment vertical="top" wrapText="1"/>
    </x:xf>
    <x:xf numFmtId="0" fontId="4" fillId="3" borderId="6" xfId="0" applyNumberFormat="1" applyFont="1" applyFill="1" applyBorder="1" applyAlignment="1">
      <x:alignment vertical="top" wrapText="1"/>
    </x:xf>
    <x:xf numFmtId="0" fontId="4" fillId="3" borderId="7" xfId="0" applyNumberFormat="1" applyFont="1" applyFill="1" applyBorder="1" applyAlignment="1">
      <x:alignment vertical="top" wrapText="1"/>
    </x:xf>
    <x:xf numFmtId="0" fontId="4" fillId="3" borderId="8" xfId="0" applyNumberFormat="1" applyFont="1" applyFill="1" applyBorder="1" applyAlignment="1">
      <x:alignment vertical="top" wrapText="1"/>
    </x:xf>
    <x:xf numFmtId="200" fontId="0" fillId="0" borderId="0" xfId="0" applyNumberFormat="1" applyFont="1" applyFill="1" applyBorder="1"/>
    <x:xf numFmtId="0" fontId="5" fillId="0" borderId="0" xfId="0" applyNumberFormat="1" applyFont="1" applyFill="1" applyBorder="1"/>
    <x:xf numFmtId="0" fontId="6" fillId="0" borderId="0" xfId="0" applyNumberFormat="1" applyFont="1" applyFill="1" applyBorder="1"/>
    <x:xf numFmtId="200" fontId="6" fillId="0" borderId="0" xfId="0" applyNumberFormat="1" applyFont="1" applyFill="1" applyBorder="1"/>
    <x:xf numFmtId="0" fontId="5" fillId="4" borderId="0" xfId="0" applyNumberFormat="1" applyFont="1" applyFill="1" applyBorder="1"/>
    <x:xf numFmtId="0" fontId="6" fillId="4" borderId="0" xfId="0" applyNumberFormat="1" applyFont="1" applyFill="1" applyBorder="1"/>
    <x:xf numFmtId="200" fontId="6" fillId="4" borderId="0" xfId="0" applyNumberFormat="1" applyFont="1" applyFill="1" applyBorder="1"/>
    <x:xf numFmtId="0" fontId="5" fillId="4" borderId="1" xfId="0" applyNumberFormat="1" applyFont="1" applyFill="1" applyBorder="1"/>
    <x:xf numFmtId="0" fontId="6" fillId="4" borderId="3" xfId="0" applyNumberFormat="1" applyFont="1" applyFill="1" applyBorder="1"/>
    <x:xf numFmtId="0" fontId="5" fillId="4" borderId="4" xfId="0" applyNumberFormat="1" applyFont="1" applyFill="1" applyBorder="1"/>
    <x:xf numFmtId="0" fontId="6" fillId="4" borderId="5" xfId="0" applyNumberFormat="1" applyFont="1" applyFill="1" applyBorder="1"/>
    <x:xf numFmtId="0" fontId="5" fillId="4" borderId="6" xfId="0" applyNumberFormat="1" applyFont="1" applyFill="1" applyBorder="1"/>
    <x:xf numFmtId="200" fontId="6" fillId="4" borderId="8" xfId="0" applyNumberFormat="1" applyFont="1" applyFill="1" applyBorder="1"/>
    <x:xf numFmtId="0" fontId="0" fillId="5" borderId="0" xfId="0" applyNumberFormat="1" applyFont="1" applyFill="1" applyBorder="1"/>
    <x:xf numFmtId="0" fontId="7" fillId="5" borderId="0" xfId="0" applyNumberFormat="1" applyFont="1" applyFill="1" applyBorder="1"/>
    <x:xf numFmtId="0" fontId="7" fillId="5" borderId="9" xfId="0" applyNumberFormat="1" applyFont="1" applyFill="1" applyBorder="1"/>
    <x:xf numFmtId="0" fontId="7" fillId="5" borderId="10" xfId="0" applyNumberFormat="1" applyFont="1" applyFill="1" applyBorder="1"/>
    <x:xf numFmtId="0" fontId="7" fillId="5" borderId="11" xfId="0" applyNumberFormat="1" applyFont="1" applyFill="1" applyBorder="1"/>
    <x:xf numFmtId="0" fontId="7" fillId="5" borderId="12" xfId="0" applyNumberFormat="1" applyFont="1" applyFill="1" applyBorder="1"/>
    <x:xf numFmtId="0" fontId="7" fillId="5" borderId="13" xfId="0" applyNumberFormat="1" applyFont="1" applyFill="1" applyBorder="1"/>
    <x:xf numFmtId="0" fontId="7" fillId="5" borderId="14" xfId="0" applyNumberFormat="1" applyFont="1" applyFill="1" applyBorder="1"/>
    <x:xf numFmtId="0" fontId="7" fillId="5" borderId="15" xfId="0" applyNumberFormat="1" applyFont="1" applyFill="1" applyBorder="1"/>
    <x:xf numFmtId="0" fontId="7" fillId="5" borderId="16" xfId="0" applyNumberFormat="1" applyFont="1" applyFill="1" applyBorder="1"/>
    <x:xf numFmtId="0" fontId="7" fillId="5" borderId="9" xfId="0" applyNumberFormat="1" applyFont="1" applyFill="1" applyBorder="1" applyAlignment="1">
      <x:alignment wrapText="1"/>
    </x:xf>
    <x:xf numFmtId="0" fontId="7" fillId="5" borderId="10" xfId="0" applyNumberFormat="1" applyFont="1" applyFill="1" applyBorder="1" applyAlignment="1">
      <x:alignment wrapText="1"/>
    </x:xf>
    <x:xf numFmtId="0" fontId="7" fillId="5" borderId="11" xfId="0" applyNumberFormat="1" applyFont="1" applyFill="1" applyBorder="1" applyAlignment="1">
      <x:alignment wrapText="1"/>
    </x:xf>
    <x:xf numFmtId="0" fontId="7" fillId="5" borderId="12" xfId="0" applyNumberFormat="1" applyFont="1" applyFill="1" applyBorder="1" applyAlignment="1">
      <x:alignment wrapText="1"/>
    </x:xf>
    <x:xf numFmtId="0" fontId="7" fillId="5" borderId="0" xfId="0" applyNumberFormat="1" applyFont="1" applyFill="1" applyBorder="1" applyAlignment="1">
      <x:alignment wrapText="1"/>
    </x:xf>
    <x:xf numFmtId="0" fontId="7" fillId="5" borderId="13" xfId="0" applyNumberFormat="1" applyFont="1" applyFill="1" applyBorder="1" applyAlignment="1">
      <x:alignment wrapText="1"/>
    </x:xf>
    <x:xf numFmtId="0" fontId="7" fillId="5" borderId="14" xfId="0" applyNumberFormat="1" applyFont="1" applyFill="1" applyBorder="1" applyAlignment="1">
      <x:alignment wrapText="1"/>
    </x:xf>
    <x:xf numFmtId="0" fontId="7" fillId="5" borderId="15" xfId="0" applyNumberFormat="1" applyFont="1" applyFill="1" applyBorder="1" applyAlignment="1">
      <x:alignment wrapText="1"/>
    </x:xf>
    <x:xf numFmtId="0" fontId="7" fillId="5" borderId="16" xfId="0" applyNumberFormat="1" applyFont="1" applyFill="1" applyBorder="1" applyAlignment="1">
      <x:alignment wrapText="1"/>
    </x:xf>
    <x:xf numFmtId="0" fontId="7" fillId="5" borderId="9" xfId="0" applyNumberFormat="1" applyFont="1" applyFill="1" applyBorder="1" applyAlignment="1">
      <x:alignment vertical="center" wrapText="1"/>
    </x:xf>
    <x:xf numFmtId="0" fontId="7" fillId="5" borderId="10" xfId="0" applyNumberFormat="1" applyFont="1" applyFill="1" applyBorder="1" applyAlignment="1">
      <x:alignment vertical="center" wrapText="1"/>
    </x:xf>
    <x:xf numFmtId="0" fontId="7" fillId="5" borderId="11" xfId="0" applyNumberFormat="1" applyFont="1" applyFill="1" applyBorder="1" applyAlignment="1">
      <x:alignment vertical="center" wrapText="1"/>
    </x:xf>
    <x:xf numFmtId="0" fontId="7" fillId="5" borderId="12" xfId="0" applyNumberFormat="1" applyFont="1" applyFill="1" applyBorder="1" applyAlignment="1">
      <x:alignment vertical="center" wrapText="1"/>
    </x:xf>
    <x:xf numFmtId="0" fontId="7" fillId="5" borderId="0" xfId="0" applyNumberFormat="1" applyFont="1" applyFill="1" applyBorder="1" applyAlignment="1">
      <x:alignment vertical="center" wrapText="1"/>
    </x:xf>
    <x:xf numFmtId="0" fontId="7" fillId="5" borderId="13" xfId="0" applyNumberFormat="1" applyFont="1" applyFill="1" applyBorder="1" applyAlignment="1">
      <x:alignment vertical="center" wrapText="1"/>
    </x:xf>
    <x:xf numFmtId="0" fontId="7" fillId="5" borderId="14" xfId="0" applyNumberFormat="1" applyFont="1" applyFill="1" applyBorder="1" applyAlignment="1">
      <x:alignment vertical="center" wrapText="1"/>
    </x:xf>
    <x:xf numFmtId="0" fontId="7" fillId="5" borderId="15" xfId="0" applyNumberFormat="1" applyFont="1" applyFill="1" applyBorder="1" applyAlignment="1">
      <x:alignment vertical="center" wrapText="1"/>
    </x:xf>
    <x:xf numFmtId="0" fontId="7" fillId="5" borderId="16" xfId="0" applyNumberFormat="1" applyFont="1" applyFill="1" applyBorder="1" applyAlignment="1">
      <x:alignment vertical="center" wrapText="1"/>
    </x:xf>
    <x:xf numFmtId="201" fontId="0" fillId="0" borderId="0" xfId="0" applyNumberFormat="1" applyFont="1" applyFill="1" applyBorder="1"/>
    <x:xf numFmtId="0" fontId="4" fillId="0" borderId="0" xfId="0" applyNumberFormat="1" applyFont="1" applyFill="1" applyBorder="1"/>
    <x:xf numFmtId="201" fontId="4" fillId="0" borderId="0" xfId="0" applyNumberFormat="1" applyFont="1" applyFill="1" applyBorder="1"/>
    <x:xf numFmtId="0" fontId="4" fillId="2" borderId="0" xfId="0" applyNumberFormat="1" applyFont="1" applyFill="1" applyBorder="1"/>
    <x:xf numFmtId="0" fontId="8" fillId="2" borderId="0" xfId="0" applyNumberFormat="1" applyFont="1" applyFill="1" applyBorder="1"/>
    <x:xf numFmtId="0" fontId="8" fillId="2" borderId="0" xfId="0" applyNumberFormat="1" applyFont="1" applyFill="1" applyBorder="1" applyAlignment="1">
      <x:alignment wrapText="1"/>
    </x:xf>
    <x:xf numFmtId="0" fontId="8" fillId="2" borderId="0" xfId="0" applyNumberFormat="1" applyFont="1" applyFill="1" applyBorder="1" applyAlignment="1">
      <x:alignment horizontal="center" wrapText="1"/>
    </x:xf>
    <x:xf numFmtId="0" fontId="8" fillId="2" borderId="0" xfId="0" applyNumberFormat="1" applyFont="1" applyFill="1" applyBorder="1" applyAlignment="1">
      <x:alignment horizontal="center" vertical="center" wrapText="1"/>
    </x:xf>
    <x:xf numFmtId="201" fontId="4" fillId="0" borderId="0" xfId="0" applyNumberFormat="1" applyFont="1" applyFill="1" applyBorder="1" applyAlignment="1">
      <x:alignment vertical="top"/>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horizontal="center" vertical="top"/>
    </x:xf>
    <x:xf numFmtId="0" fontId="4" fillId="6" borderId="0" xfId="0" applyNumberFormat="1" applyFont="1" applyFill="1" applyBorder="1" applyAlignment="1">
      <x:alignment vertical="top"/>
    </x:xf>
    <x:xf numFmtId="0" fontId="4" fillId="7" borderId="0" xfId="0" applyNumberFormat="1" applyFont="1" applyFill="1" applyBorder="1" applyAlignment="1">
      <x:alignment vertical="top"/>
    </x:xf>
    <x:xf numFmtId="0" fontId="4" fillId="8" borderId="0" xfId="0" applyNumberFormat="1" applyFont="1" applyFill="1" applyBorder="1" applyAlignment="1">
      <x:alignment vertical="top"/>
    </x:xf>
    <x:xf numFmtId="0" fontId="4" fillId="9" borderId="0" xfId="0" applyNumberFormat="1" applyFont="1" applyFill="1" applyBorder="1" applyAlignment="1">
      <x:alignment vertical="top"/>
    </x:xf>
    <x:xf numFmtId="0" fontId="4" fillId="10" borderId="0" xfId="0" applyNumberFormat="1" applyFont="1" applyFill="1" applyBorder="1" applyAlignment="1">
      <x:alignment vertical="top"/>
    </x:xf>
    <x:xf numFmtId="0" fontId="4" fillId="11" borderId="0" xfId="0" applyNumberFormat="1" applyFont="1" applyFill="1" applyBorder="1" applyAlignment="1">
      <x:alignment vertical="top"/>
    </x:xf>
    <x:xf numFmtId="0" fontId="4" fillId="12" borderId="0" xfId="0" applyNumberFormat="1" applyFont="1" applyFill="1" applyBorder="1" applyAlignment="1">
      <x:alignment vertical="top"/>
    </x:xf>
    <x:xf numFmtId="0" fontId="8" fillId="2" borderId="17" xfId="0" applyNumberFormat="1" applyFont="1" applyFill="1" applyBorder="1" applyAlignment="1">
      <x:alignment horizontal="center" vertical="center" wrapText="1"/>
    </x:xf>
    <x:xf numFmtId="201" fontId="4" fillId="0" borderId="18" xfId="0" applyNumberFormat="1" applyFont="1" applyFill="1" applyBorder="1" applyAlignment="1">
      <x:alignment vertical="top"/>
    </x:xf>
    <x:xf numFmtId="0" fontId="4" fillId="0" borderId="18" xfId="0" applyNumberFormat="1" applyFont="1" applyFill="1" applyBorder="1" applyAlignment="1">
      <x:alignment vertical="top"/>
    </x:xf>
    <x:xf numFmtId="0" fontId="4" fillId="6" borderId="18" xfId="0" applyNumberFormat="1" applyFont="1" applyFill="1" applyBorder="1" applyAlignment="1">
      <x:alignment vertical="top"/>
    </x:xf>
    <x:xf numFmtId="0" fontId="4" fillId="0" borderId="18" xfId="0" applyNumberFormat="1" applyFont="1" applyFill="1" applyBorder="1" applyAlignment="1">
      <x:alignment vertical="top" wrapText="1"/>
    </x:xf>
    <x:xf numFmtId="0" fontId="4" fillId="0" borderId="18" xfId="0" applyNumberFormat="1" applyFont="1" applyFill="1" applyBorder="1" applyAlignment="1">
      <x:alignment horizontal="center" vertical="top"/>
    </x:xf>
    <x:xf numFmtId="0" fontId="4" fillId="7" borderId="18" xfId="0" applyNumberFormat="1" applyFont="1" applyFill="1" applyBorder="1" applyAlignment="1">
      <x:alignment vertical="top"/>
    </x:xf>
    <x:xf numFmtId="0" fontId="4" fillId="8" borderId="18" xfId="0" applyNumberFormat="1" applyFont="1" applyFill="1" applyBorder="1" applyAlignment="1">
      <x:alignment vertical="top"/>
    </x:xf>
    <x:xf numFmtId="0" fontId="4" fillId="9" borderId="18" xfId="0" applyNumberFormat="1" applyFont="1" applyFill="1" applyBorder="1" applyAlignment="1">
      <x:alignment vertical="top"/>
    </x:xf>
    <x:xf numFmtId="0" fontId="4" fillId="10" borderId="18" xfId="0" applyNumberFormat="1" applyFont="1" applyFill="1" applyBorder="1" applyAlignment="1">
      <x:alignment vertical="top"/>
    </x:xf>
    <x:xf numFmtId="0" fontId="4" fillId="11" borderId="18" xfId="0" applyNumberFormat="1" applyFont="1" applyFill="1" applyBorder="1" applyAlignment="1">
      <x:alignment vertical="top"/>
    </x:xf>
    <x:xf numFmtId="201" fontId="4" fillId="0" borderId="19" xfId="0" applyNumberFormat="1" applyFont="1" applyFill="1" applyBorder="1" applyAlignment="1">
      <x:alignment vertical="top"/>
    </x:xf>
    <x:xf numFmtId="0" fontId="4" fillId="0" borderId="19" xfId="0" applyNumberFormat="1" applyFont="1" applyFill="1" applyBorder="1" applyAlignment="1">
      <x:alignment vertical="top"/>
    </x:xf>
    <x:xf numFmtId="0" fontId="4" fillId="12" borderId="19" xfId="0" applyNumberFormat="1" applyFont="1" applyFill="1" applyBorder="1" applyAlignment="1">
      <x:alignment vertical="top"/>
    </x:xf>
    <x:xf numFmtId="0" fontId="4" fillId="0" borderId="19" xfId="0" applyNumberFormat="1" applyFont="1" applyFill="1" applyBorder="1" applyAlignment="1">
      <x:alignment vertical="top" wrapText="1"/>
    </x:xf>
    <x:xf numFmtId="0" fontId="4" fillId="0" borderId="19" xfId="0" applyNumberFormat="1" applyFont="1" applyFill="1" applyBorder="1" applyAlignment="1">
      <x:alignment horizontal="center" vertical="top"/>
    </x:xf>
    <x:xf numFmtId="0" fontId="0" fillId="6" borderId="0" xfId="0" applyNumberFormat="1" applyFont="1" applyFill="1" applyBorder="1"/>
    <x:xf numFmtId="0" fontId="6" fillId="6" borderId="0" xfId="0" applyNumberFormat="1" applyFont="1" applyFill="1" applyBorder="1"/>
    <x:xf numFmtId="0" fontId="6" fillId="6" borderId="20" xfId="0" applyNumberFormat="1" applyFont="1" applyFill="1" applyBorder="1"/>
    <x:xf numFmtId="0" fontId="6" fillId="6" borderId="21" xfId="0" applyNumberFormat="1" applyFont="1" applyFill="1" applyBorder="1"/>
    <x:xf numFmtId="0" fontId="6" fillId="6" borderId="22" xfId="0" applyNumberFormat="1" applyFont="1" applyFill="1" applyBorder="1"/>
    <x:xf numFmtId="0" fontId="6" fillId="6" borderId="20" xfId="0" applyNumberFormat="1" applyFont="1" applyFill="1" applyBorder="1" applyAlignment="1">
      <x:alignment vertical="center"/>
    </x:xf>
    <x:xf numFmtId="0" fontId="6" fillId="6" borderId="21" xfId="0" applyNumberFormat="1" applyFont="1" applyFill="1" applyBorder="1" applyAlignment="1">
      <x:alignment vertical="center"/>
    </x:xf>
    <x:xf numFmtId="0" fontId="6" fillId="6" borderId="22" xfId="0" applyNumberFormat="1" applyFont="1" applyFill="1" applyBorder="1" applyAlignment="1">
      <x:alignment vertical="center"/>
    </x:xf>
    <x:xf numFmtId="0" fontId="8" fillId="2" borderId="20" xfId="0" applyNumberFormat="1" applyFont="1" applyFill="1" applyBorder="1"/>
    <x:xf numFmtId="0" fontId="8" fillId="2" borderId="22" xfId="0" applyNumberFormat="1" applyFont="1" applyFill="1" applyBorder="1"/>
    <x:xf numFmtId="0" fontId="8" fillId="2" borderId="20" xfId="0" applyNumberFormat="1" applyFont="1" applyFill="1" applyBorder="1" applyAlignment="1">
      <x:alignment horizontal="center"/>
    </x:xf>
    <x:xf numFmtId="0" fontId="8" fillId="2" borderId="22" xfId="0" applyNumberFormat="1" applyFont="1" applyFill="1" applyBorder="1" applyAlignment="1">
      <x:alignment horizontal="center"/>
    </x:xf>
    <x:xf numFmtId="0" fontId="8" fillId="2" borderId="20" xfId="0" applyNumberFormat="1" applyFont="1" applyFill="1" applyBorder="1" applyAlignment="1">
      <x:alignment horizontal="center" vertical="center"/>
    </x:xf>
    <x:xf numFmtId="0" fontId="8" fillId="2" borderId="22" xfId="0" applyNumberFormat="1" applyFont="1" applyFill="1" applyBorder="1" applyAlignment="1">
      <x:alignment horizontal="center" vertical="center"/>
    </x:xf>
    <x:xf numFmtId="0" fontId="0" fillId="13" borderId="0" xfId="0" applyNumberFormat="1" applyFont="1" applyFill="1" applyBorder="1"/>
    <x:xf numFmtId="0" fontId="9" fillId="13" borderId="0" xfId="0" applyNumberFormat="1" applyFont="1" applyFill="1" applyBorder="1"/>
    <x:xf numFmtId="0" fontId="9" fillId="13" borderId="1" xfId="0" applyNumberFormat="1" applyFont="1" applyFill="1" applyBorder="1"/>
    <x:xf numFmtId="0" fontId="9" fillId="13" borderId="3" xfId="0" applyNumberFormat="1" applyFont="1" applyFill="1" applyBorder="1"/>
    <x:xf numFmtId="0" fontId="9" fillId="13" borderId="4" xfId="0" applyNumberFormat="1" applyFont="1" applyFill="1" applyBorder="1"/>
    <x:xf numFmtId="0" fontId="9" fillId="13" borderId="5" xfId="0" applyNumberFormat="1" applyFont="1" applyFill="1" applyBorder="1"/>
    <x:xf numFmtId="0" fontId="9" fillId="13" borderId="6" xfId="0" applyNumberFormat="1" applyFont="1" applyFill="1" applyBorder="1"/>
    <x:xf numFmtId="0" fontId="9" fillId="13" borderId="8" xfId="0" applyNumberFormat="1" applyFont="1" applyFill="1" applyBorder="1"/>
    <x:xf numFmtId="0" fontId="9" fillId="13" borderId="1" xfId="0" applyNumberFormat="1" applyFont="1" applyFill="1" applyBorder="1" applyAlignment="1">
      <x:alignment wrapText="1"/>
    </x:xf>
    <x:xf numFmtId="0" fontId="9" fillId="13" borderId="3" xfId="0" applyNumberFormat="1" applyFont="1" applyFill="1" applyBorder="1" applyAlignment="1">
      <x:alignment wrapText="1"/>
    </x:xf>
    <x:xf numFmtId="0" fontId="9" fillId="13" borderId="4" xfId="0" applyNumberFormat="1" applyFont="1" applyFill="1" applyBorder="1" applyAlignment="1">
      <x:alignment wrapText="1"/>
    </x:xf>
    <x:xf numFmtId="0" fontId="9" fillId="13" borderId="5" xfId="0" applyNumberFormat="1" applyFont="1" applyFill="1" applyBorder="1" applyAlignment="1">
      <x:alignment wrapText="1"/>
    </x:xf>
    <x:xf numFmtId="0" fontId="9" fillId="13" borderId="6" xfId="0" applyNumberFormat="1" applyFont="1" applyFill="1" applyBorder="1" applyAlignment="1">
      <x:alignment wrapText="1"/>
    </x:xf>
    <x:xf numFmtId="0" fontId="9" fillId="13" borderId="8" xfId="0" applyNumberFormat="1" applyFont="1" applyFill="1" applyBorder="1" applyAlignment="1">
      <x:alignment wrapText="1"/>
    </x:xf>
    <x:xf numFmtId="0" fontId="9" fillId="13" borderId="1" xfId="0" applyNumberFormat="1" applyFont="1" applyFill="1" applyBorder="1" applyAlignment="1">
      <x:alignment vertical="top" wrapText="1"/>
    </x:xf>
    <x:xf numFmtId="0" fontId="9" fillId="13" borderId="3" xfId="0" applyNumberFormat="1" applyFont="1" applyFill="1" applyBorder="1" applyAlignment="1">
      <x:alignment vertical="top" wrapText="1"/>
    </x:xf>
    <x:xf numFmtId="0" fontId="9" fillId="13" borderId="4" xfId="0" applyNumberFormat="1" applyFont="1" applyFill="1" applyBorder="1" applyAlignment="1">
      <x:alignment vertical="top" wrapText="1"/>
    </x:xf>
    <x:xf numFmtId="0" fontId="9" fillId="13" borderId="5" xfId="0" applyNumberFormat="1" applyFont="1" applyFill="1" applyBorder="1" applyAlignment="1">
      <x:alignment vertical="top" wrapText="1"/>
    </x:xf>
    <x:xf numFmtId="0" fontId="9" fillId="13" borderId="6" xfId="0" applyNumberFormat="1" applyFont="1" applyFill="1" applyBorder="1" applyAlignment="1">
      <x:alignment vertical="top" wrapText="1"/>
    </x:xf>
    <x:xf numFmtId="0" fontId="9" fillId="13" borderId="8" xfId="0" applyNumberFormat="1" applyFont="1" applyFill="1" applyBorder="1" applyAlignment="1">
      <x:alignment vertical="top" wrapText="1"/>
    </x:xf>
    <x:xf numFmtId="0" fontId="0" fillId="14" borderId="0" xfId="0" applyNumberFormat="1" applyFont="1" applyFill="1" applyBorder="1"/>
    <x:xf numFmtId="0" fontId="9" fillId="14" borderId="0" xfId="0" applyNumberFormat="1" applyFont="1" applyFill="1" applyBorder="1"/>
    <x:xf numFmtId="0" fontId="9" fillId="14" borderId="1" xfId="0" applyNumberFormat="1" applyFont="1" applyFill="1" applyBorder="1"/>
    <x:xf numFmtId="0" fontId="9" fillId="14" borderId="3" xfId="0" applyNumberFormat="1" applyFont="1" applyFill="1" applyBorder="1"/>
    <x:xf numFmtId="0" fontId="9" fillId="14" borderId="4" xfId="0" applyNumberFormat="1" applyFont="1" applyFill="1" applyBorder="1"/>
    <x:xf numFmtId="0" fontId="9" fillId="14" borderId="5" xfId="0" applyNumberFormat="1" applyFont="1" applyFill="1" applyBorder="1"/>
    <x:xf numFmtId="0" fontId="9" fillId="14" borderId="6" xfId="0" applyNumberFormat="1" applyFont="1" applyFill="1" applyBorder="1"/>
    <x:xf numFmtId="0" fontId="9" fillId="14" borderId="8" xfId="0" applyNumberFormat="1" applyFont="1" applyFill="1" applyBorder="1"/>
    <x:xf numFmtId="0" fontId="9" fillId="14" borderId="1" xfId="0" applyNumberFormat="1" applyFont="1" applyFill="1" applyBorder="1" applyAlignment="1">
      <x:alignment wrapText="1"/>
    </x:xf>
    <x:xf numFmtId="0" fontId="9" fillId="14" borderId="3" xfId="0" applyNumberFormat="1" applyFont="1" applyFill="1" applyBorder="1" applyAlignment="1">
      <x:alignment wrapText="1"/>
    </x:xf>
    <x:xf numFmtId="0" fontId="9" fillId="14" borderId="4" xfId="0" applyNumberFormat="1" applyFont="1" applyFill="1" applyBorder="1" applyAlignment="1">
      <x:alignment wrapText="1"/>
    </x:xf>
    <x:xf numFmtId="0" fontId="9" fillId="14" borderId="5" xfId="0" applyNumberFormat="1" applyFont="1" applyFill="1" applyBorder="1" applyAlignment="1">
      <x:alignment wrapText="1"/>
    </x:xf>
    <x:xf numFmtId="0" fontId="9" fillId="14" borderId="6" xfId="0" applyNumberFormat="1" applyFont="1" applyFill="1" applyBorder="1" applyAlignment="1">
      <x:alignment wrapText="1"/>
    </x:xf>
    <x:xf numFmtId="0" fontId="9" fillId="14" borderId="8" xfId="0" applyNumberFormat="1" applyFont="1" applyFill="1" applyBorder="1" applyAlignment="1">
      <x:alignment wrapText="1"/>
    </x:xf>
    <x:xf numFmtId="0" fontId="9" fillId="14" borderId="1" xfId="0" applyNumberFormat="1" applyFont="1" applyFill="1" applyBorder="1" applyAlignment="1">
      <x:alignment vertical="top" wrapText="1"/>
    </x:xf>
    <x:xf numFmtId="0" fontId="9" fillId="14" borderId="3" xfId="0" applyNumberFormat="1" applyFont="1" applyFill="1" applyBorder="1" applyAlignment="1">
      <x:alignment vertical="top" wrapText="1"/>
    </x:xf>
    <x:xf numFmtId="0" fontId="9" fillId="14" borderId="4" xfId="0" applyNumberFormat="1" applyFont="1" applyFill="1" applyBorder="1" applyAlignment="1">
      <x:alignment vertical="top" wrapText="1"/>
    </x:xf>
    <x:xf numFmtId="0" fontId="9" fillId="14" borderId="5" xfId="0" applyNumberFormat="1" applyFont="1" applyFill="1" applyBorder="1" applyAlignment="1">
      <x:alignment vertical="top" wrapText="1"/>
    </x:xf>
    <x:xf numFmtId="0" fontId="9" fillId="14" borderId="6" xfId="0" applyNumberFormat="1" applyFont="1" applyFill="1" applyBorder="1" applyAlignment="1">
      <x:alignment vertical="top" wrapText="1"/>
    </x:xf>
    <x:xf numFmtId="0" fontId="9" fillId="14" borderId="8" xfId="0" applyNumberFormat="1" applyFont="1" applyFill="1" applyBorder="1" applyAlignment="1">
      <x:alignment vertical="top" wrapText="1"/>
    </x:xf>
    <x:xf numFmtId="0" fontId="0" fillId="8" borderId="0" xfId="0" applyNumberFormat="1" applyFont="1" applyFill="1" applyBorder="1"/>
    <x:xf numFmtId="0" fontId="6" fillId="8" borderId="0" xfId="0" applyNumberFormat="1" applyFont="1" applyFill="1" applyBorder="1"/>
    <x:xf numFmtId="0" fontId="6" fillId="8" borderId="20" xfId="0" applyNumberFormat="1" applyFont="1" applyFill="1" applyBorder="1"/>
    <x:xf numFmtId="0" fontId="6" fillId="8" borderId="21" xfId="0" applyNumberFormat="1" applyFont="1" applyFill="1" applyBorder="1"/>
    <x:xf numFmtId="0" fontId="6" fillId="8" borderId="22" xfId="0" applyNumberFormat="1" applyFont="1" applyFill="1" applyBorder="1"/>
    <x:xf numFmtId="0" fontId="6" fillId="8" borderId="20" xfId="0" applyNumberFormat="1" applyFont="1" applyFill="1" applyBorder="1" applyAlignment="1">
      <x:alignment vertical="center"/>
    </x:xf>
    <x:xf numFmtId="0" fontId="6" fillId="8" borderId="21" xfId="0" applyNumberFormat="1" applyFont="1" applyFill="1" applyBorder="1" applyAlignment="1">
      <x:alignment vertical="center"/>
    </x:xf>
    <x:xf numFmtId="0" fontId="6" fillId="8" borderId="22" xfId="0" applyNumberFormat="1" applyFont="1" applyFill="1" applyBorder="1" applyAlignment="1">
      <x:alignment vertical="center"/>
    </x:xf>
    <x:xf numFmtId="0" fontId="0" fillId="7" borderId="0" xfId="0" applyNumberFormat="1" applyFont="1" applyFill="1" applyBorder="1"/>
    <x:xf numFmtId="0" fontId="6" fillId="7" borderId="0" xfId="0" applyNumberFormat="1" applyFont="1" applyFill="1" applyBorder="1"/>
    <x:xf numFmtId="0" fontId="6" fillId="7" borderId="20" xfId="0" applyNumberFormat="1" applyFont="1" applyFill="1" applyBorder="1"/>
    <x:xf numFmtId="0" fontId="6" fillId="7" borderId="21" xfId="0" applyNumberFormat="1" applyFont="1" applyFill="1" applyBorder="1"/>
    <x:xf numFmtId="0" fontId="6" fillId="7" borderId="22" xfId="0" applyNumberFormat="1" applyFont="1" applyFill="1" applyBorder="1"/>
    <x:xf numFmtId="0" fontId="6" fillId="7" borderId="20" xfId="0" applyNumberFormat="1" applyFont="1" applyFill="1" applyBorder="1" applyAlignment="1">
      <x:alignment vertical="center"/>
    </x:xf>
    <x:xf numFmtId="0" fontId="6" fillId="7" borderId="21" xfId="0" applyNumberFormat="1" applyFont="1" applyFill="1" applyBorder="1" applyAlignment="1">
      <x:alignment vertical="center"/>
    </x:xf>
    <x:xf numFmtId="0" fontId="6" fillId="7" borderId="22" xfId="0" applyNumberFormat="1" applyFont="1" applyFill="1" applyBorder="1" applyAlignment="1">
      <x:alignment vertical="center"/>
    </x:xf>
    <x:xf numFmtId="0" fontId="0" fillId="9" borderId="0" xfId="0" applyNumberFormat="1" applyFont="1" applyFill="1" applyBorder="1"/>
    <x:xf numFmtId="0" fontId="6" fillId="9" borderId="0" xfId="0" applyNumberFormat="1" applyFont="1" applyFill="1" applyBorder="1"/>
    <x:xf numFmtId="0" fontId="6" fillId="9" borderId="20" xfId="0" applyNumberFormat="1" applyFont="1" applyFill="1" applyBorder="1"/>
    <x:xf numFmtId="0" fontId="6" fillId="9" borderId="21" xfId="0" applyNumberFormat="1" applyFont="1" applyFill="1" applyBorder="1"/>
    <x:xf numFmtId="0" fontId="6" fillId="9" borderId="22" xfId="0" applyNumberFormat="1" applyFont="1" applyFill="1" applyBorder="1"/>
    <x:xf numFmtId="0" fontId="6" fillId="9" borderId="20" xfId="0" applyNumberFormat="1" applyFont="1" applyFill="1" applyBorder="1" applyAlignment="1">
      <x:alignment vertical="center"/>
    </x:xf>
    <x:xf numFmtId="0" fontId="6" fillId="9" borderId="21" xfId="0" applyNumberFormat="1" applyFont="1" applyFill="1" applyBorder="1" applyAlignment="1">
      <x:alignment vertical="center"/>
    </x:xf>
    <x:xf numFmtId="0" fontId="6" fillId="9" borderId="22" xfId="0" applyNumberFormat="1" applyFont="1" applyFill="1" applyBorder="1" applyAlignment="1">
      <x:alignment vertical="center"/>
    </x:xf>
    <x:xf numFmtId="0" fontId="0" fillId="10" borderId="0" xfId="0" applyNumberFormat="1" applyFont="1" applyFill="1" applyBorder="1"/>
    <x:xf numFmtId="0" fontId="6" fillId="10" borderId="0" xfId="0" applyNumberFormat="1" applyFont="1" applyFill="1" applyBorder="1"/>
    <x:xf numFmtId="0" fontId="6" fillId="10" borderId="20" xfId="0" applyNumberFormat="1" applyFont="1" applyFill="1" applyBorder="1"/>
    <x:xf numFmtId="0" fontId="6" fillId="10" borderId="21" xfId="0" applyNumberFormat="1" applyFont="1" applyFill="1" applyBorder="1"/>
    <x:xf numFmtId="0" fontId="6" fillId="10" borderId="22" xfId="0" applyNumberFormat="1" applyFont="1" applyFill="1" applyBorder="1"/>
    <x:xf numFmtId="0" fontId="6" fillId="10" borderId="20" xfId="0" applyNumberFormat="1" applyFont="1" applyFill="1" applyBorder="1" applyAlignment="1">
      <x:alignment vertical="center"/>
    </x:xf>
    <x:xf numFmtId="0" fontId="6" fillId="10" borderId="21" xfId="0" applyNumberFormat="1" applyFont="1" applyFill="1" applyBorder="1" applyAlignment="1">
      <x:alignment vertical="center"/>
    </x:xf>
    <x:xf numFmtId="0" fontId="6" fillId="10" borderId="22" xfId="0" applyNumberFormat="1" applyFont="1" applyFill="1" applyBorder="1" applyAlignment="1">
      <x:alignment vertical="center"/>
    </x:xf>
    <x:xf numFmtId="0" fontId="0" fillId="12" borderId="0" xfId="0" applyNumberFormat="1" applyFont="1" applyFill="1" applyBorder="1"/>
    <x:xf numFmtId="0" fontId="6" fillId="12" borderId="0" xfId="0" applyNumberFormat="1" applyFont="1" applyFill="1" applyBorder="1"/>
    <x:xf numFmtId="0" fontId="6" fillId="12" borderId="20" xfId="0" applyNumberFormat="1" applyFont="1" applyFill="1" applyBorder="1"/>
    <x:xf numFmtId="0" fontId="6" fillId="12" borderId="21" xfId="0" applyNumberFormat="1" applyFont="1" applyFill="1" applyBorder="1"/>
    <x:xf numFmtId="0" fontId="6" fillId="12" borderId="22" xfId="0" applyNumberFormat="1" applyFont="1" applyFill="1" applyBorder="1"/>
    <x:xf numFmtId="0" fontId="6" fillId="12" borderId="20" xfId="0" applyNumberFormat="1" applyFont="1" applyFill="1" applyBorder="1" applyAlignment="1">
      <x:alignment vertical="center"/>
    </x:xf>
    <x:xf numFmtId="0" fontId="6" fillId="12" borderId="21" xfId="0" applyNumberFormat="1" applyFont="1" applyFill="1" applyBorder="1" applyAlignment="1">
      <x:alignment vertical="center"/>
    </x:xf>
    <x:xf numFmtId="0" fontId="6" fillId="12" borderId="22" xfId="0" applyNumberFormat="1" applyFont="1" applyFill="1" applyBorder="1" applyAlignment="1">
      <x:alignment vertical="center"/>
    </x:xf>
    <x:xf numFmtId="0" fontId="0" fillId="4" borderId="0" xfId="0" applyNumberFormat="1" applyFont="1" applyFill="1" applyBorder="1"/>
    <x:xf numFmtId="0" fontId="9" fillId="4" borderId="0" xfId="0" applyNumberFormat="1" applyFont="1" applyFill="1" applyBorder="1"/>
    <x:xf numFmtId="0" fontId="9" fillId="4" borderId="1" xfId="0" applyNumberFormat="1" applyFont="1" applyFill="1" applyBorder="1"/>
    <x:xf numFmtId="0" fontId="9" fillId="4" borderId="3" xfId="0" applyNumberFormat="1" applyFont="1" applyFill="1" applyBorder="1"/>
    <x:xf numFmtId="0" fontId="9" fillId="4" borderId="4" xfId="0" applyNumberFormat="1" applyFont="1" applyFill="1" applyBorder="1"/>
    <x:xf numFmtId="0" fontId="9" fillId="4" borderId="5" xfId="0" applyNumberFormat="1" applyFont="1" applyFill="1" applyBorder="1"/>
    <x:xf numFmtId="0" fontId="9" fillId="4" borderId="6" xfId="0" applyNumberFormat="1" applyFont="1" applyFill="1" applyBorder="1"/>
    <x:xf numFmtId="0" fontId="9" fillId="4" borderId="8" xfId="0" applyNumberFormat="1" applyFont="1" applyFill="1" applyBorder="1"/>
    <x:xf numFmtId="0" fontId="9" fillId="4" borderId="1" xfId="0" applyNumberFormat="1" applyFont="1" applyFill="1" applyBorder="1" applyAlignment="1">
      <x:alignment wrapText="1"/>
    </x:xf>
    <x:xf numFmtId="0" fontId="9" fillId="4" borderId="3" xfId="0" applyNumberFormat="1" applyFont="1" applyFill="1" applyBorder="1" applyAlignment="1">
      <x:alignment wrapText="1"/>
    </x:xf>
    <x:xf numFmtId="0" fontId="9" fillId="4" borderId="4" xfId="0" applyNumberFormat="1" applyFont="1" applyFill="1" applyBorder="1" applyAlignment="1">
      <x:alignment wrapText="1"/>
    </x:xf>
    <x:xf numFmtId="0" fontId="9" fillId="4" borderId="5" xfId="0" applyNumberFormat="1" applyFont="1" applyFill="1" applyBorder="1" applyAlignment="1">
      <x:alignment wrapText="1"/>
    </x:xf>
    <x:xf numFmtId="0" fontId="9" fillId="4" borderId="6" xfId="0" applyNumberFormat="1" applyFont="1" applyFill="1" applyBorder="1" applyAlignment="1">
      <x:alignment wrapText="1"/>
    </x:xf>
    <x:xf numFmtId="0" fontId="9" fillId="4" borderId="8" xfId="0" applyNumberFormat="1" applyFont="1" applyFill="1" applyBorder="1" applyAlignment="1">
      <x:alignment wrapText="1"/>
    </x:xf>
    <x:xf numFmtId="0" fontId="9" fillId="4" borderId="1" xfId="0" applyNumberFormat="1" applyFont="1" applyFill="1" applyBorder="1" applyAlignment="1">
      <x:alignment vertical="top" wrapText="1"/>
    </x:xf>
    <x:xf numFmtId="0" fontId="9" fillId="4" borderId="3" xfId="0" applyNumberFormat="1" applyFont="1" applyFill="1" applyBorder="1" applyAlignment="1">
      <x:alignment vertical="top" wrapText="1"/>
    </x:xf>
    <x:xf numFmtId="0" fontId="9" fillId="4" borderId="4" xfId="0" applyNumberFormat="1" applyFont="1" applyFill="1" applyBorder="1" applyAlignment="1">
      <x:alignment vertical="top" wrapText="1"/>
    </x:xf>
    <x:xf numFmtId="0" fontId="9" fillId="4" borderId="5" xfId="0" applyNumberFormat="1" applyFont="1" applyFill="1" applyBorder="1" applyAlignment="1">
      <x:alignment vertical="top" wrapText="1"/>
    </x:xf>
    <x:xf numFmtId="0" fontId="9" fillId="4" borderId="6" xfId="0" applyNumberFormat="1" applyFont="1" applyFill="1" applyBorder="1" applyAlignment="1">
      <x:alignment vertical="top" wrapText="1"/>
    </x:xf>
    <x:xf numFmtId="0" fontId="9" fillId="4" borderId="8" xfId="0" applyNumberFormat="1" applyFont="1" applyFill="1" applyBorder="1" applyAlignment="1">
      <x:alignment vertical="top" wrapText="1"/>
    </x:xf>
    <x:xf numFmtId="0" fontId="8" fillId="2" borderId="0" xfId="0" applyNumberFormat="1" applyFont="1" applyFill="1" applyBorder="1" applyAlignment="1">
      <x:alignment horizontal="center"/>
    </x:xf>
    <x:xf numFmtId="0" fontId="8" fillId="2" borderId="0" xfId="0" applyNumberFormat="1" applyFont="1" applyFill="1" applyBorder="1" applyAlignment="1">
      <x:alignment horizontal="center" vertical="center"/>
    </x:xf>
    <x:xf numFmtId="0" fontId="4" fillId="0" borderId="17" xfId="0" applyNumberFormat="1" applyFont="1" applyFill="1" applyBorder="1"/>
    <x:xf numFmtId="0" fontId="4" fillId="0" borderId="18" xfId="0" applyNumberFormat="1" applyFont="1" applyFill="1" applyBorder="1"/>
    <x:xf numFmtId="0" fontId="4" fillId="0" borderId="23" xfId="0" applyNumberFormat="1" applyFont="1" applyFill="1" applyBorder="1"/>
    <x:xf numFmtId="0" fontId="4" fillId="0" borderId="17" xfId="0" applyNumberFormat="1" applyFont="1" applyFill="1" applyBorder="1" applyAlignment="1">
      <x:alignment wrapText="1"/>
    </x:xf>
    <x:xf numFmtId="0" fontId="4" fillId="0" borderId="18" xfId="0" applyNumberFormat="1" applyFont="1" applyFill="1" applyBorder="1" applyAlignment="1">
      <x:alignment wrapText="1"/>
    </x:xf>
    <x:xf numFmtId="0" fontId="4" fillId="0" borderId="23" xfId="0" applyNumberFormat="1" applyFont="1" applyFill="1" applyBorder="1" applyAlignment="1">
      <x:alignment wrapText="1"/>
    </x:xf>
    <x:xf numFmtId="0" fontId="4" fillId="0" borderId="17" xfId="0" applyNumberFormat="1" applyFont="1" applyFill="1" applyBorder="1" applyAlignment="1">
      <x:alignment vertical="top" wrapText="1"/>
    </x:xf>
    <x:xf numFmtId="0" fontId="4" fillId="0" borderId="23" xfId="0" applyNumberFormat="1" applyFont="1" applyFill="1" applyBorder="1" applyAlignment="1">
      <x:alignment vertical="top" wrapText="1"/>
    </x:xf>
  </x:cellXfs>
  <x:cellStyles count="1">
    <x:cellStyle name="Normal" xfId="0"/>
  </x:cellStyles>
  <x:dxfs count="4">
    <x:dxf>
      <x:font>
        <x:b/>
        <x:color rgb="FF216E39"/>
      </x:font>
      <x:fill>
        <x:patternFill>
          <x:bgColor rgb="FFDDF2E3"/>
        </x:patternFill>
      </x:fill>
    </x:dxf>
    <x:dxf>
      <x:font>
        <x:b/>
        <x:color rgb="FF805B00"/>
      </x:font>
      <x:fill>
        <x:patternFill>
          <x:bgColor rgb="FFFFF1C7"/>
        </x:patternFill>
      </x:fill>
    </x:dxf>
    <x:dxf>
      <x:font>
        <x:b/>
        <x:color rgb="FFA61B1B"/>
      </x:font>
      <x:fill>
        <x:patternFill>
          <x:bgColor rgb="FFFADBD8"/>
        </x:patternFill>
      </x:fill>
    </x:dxf>
    <x:dxf>
      <x:font>
        <x:color rgb="FF566573"/>
      </x:font>
      <x:fill>
        <x:patternFill>
          <x:bgColor rgb="FFEEF2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000d84478034533" /><Relationship Type="http://schemas.openxmlformats.org/officeDocument/2006/relationships/theme" Target="/xl/theme/theme1.xml" Id="R215f271b8c434e65" /><Relationship Type="http://schemas.openxmlformats.org/officeDocument/2006/relationships/sharedStrings" Target="/xl/sharedStrings.xml" Id="R7309d67190f842a5" /><Relationship Type="http://schemas.openxmlformats.org/officeDocument/2006/relationships/worksheet" Target="/xl/worksheets/sheet1.xml" Id="Rc41334b631c24f76" /><Relationship Type="http://schemas.openxmlformats.org/officeDocument/2006/relationships/worksheet" Target="/xl/worksheets/sheet2.xml" Id="R683000167914462d" /><Relationship Type="http://schemas.openxmlformats.org/officeDocument/2006/relationships/worksheet" Target="/xl/worksheets/sheet3.xml" Id="R2c503a7206dc4f59" /><Relationship Type="http://schemas.openxmlformats.org/officeDocument/2006/relationships/worksheet" Target="/xl/worksheets/sheet4.xml" Id="R3d1264653fa746e5" /></Relationships>
</file>

<file path=xl/tables/table1.xml><?xml version="1.0" encoding="utf-8"?>
<x:table xmlns:x="http://schemas.openxmlformats.org/spreadsheetml/2006/main" id="1" name="LaunchTasksTable" displayName="LaunchTasksTable" ref="A10:J46" headerRowCount="1" totalsRowCount="0" totalsRowShown="0">
  <x:autoFilter ref="A10:J46"/>
  <x:tableColumns count="10">
    <x:tableColumn id="1" name="Date"/>
    <x:tableColumn id="2" name="Day"/>
    <x:tableColumn id="3" name="Phase"/>
    <x:tableColumn id="4" name="Morning: copy this entire prompt into Codex"/>
    <x:tableColumn id="5" name="Evening / weekend: exactly what you do"/>
    <x:tableColumn id="6" name="Time cap"/>
    <x:tableColumn id="7" name="Done means"/>
    <x:tableColumn id="8" name="Hard gate?"/>
    <x:tableColumn id="9" name="Status"/>
    <x:tableColumn id="10" name="Notes / evi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c6f61ffbd834051" /></Relationships>
</file>

<file path=xl/worksheets/sheet1.xml><?xml version="1.0" encoding="utf-8"?>
<x:worksheet xmlns:x="http://schemas.openxmlformats.org/spreadsheetml/2006/main">
  <x:sheetPr>
    <x:tabColor rgb="FF17324D"/>
  </x:sheetPr>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2">
      <x:c r="A2" s="1" t="str">
        <x:v>YOW November launch sprint — start here</x:v>
      </x:c>
    </x:row>
    <x:row r="3">
      <x:c r="A3" s="2" t="str">
        <x:v>Quiet release Sunday 1 November · public launch and marketing Monday 2 November</x:v>
      </x:c>
    </x:row>
    <x:row r="5" ht="22" customHeight="1">
      <x:c r="A5" s="5" t="str">
        <x:v>The basic routine</x:v>
      </x:c>
      <x:c r="B5" s="5"/>
      <x:c r="C5" s="5"/>
      <x:c r="D5" s="5"/>
      <x:c r="E5" s="5"/>
      <x:c r="F5" s="5"/>
      <x:c r="G5" s="5"/>
      <x:c r="H5" s="5"/>
    </x:row>
    <x:row r="6" ht="22" customHeight="1">
      <x:c r="A6" s="25" t="str">
        <x:v>Every morning: spend 10 minutes (15 on weekends) copying today's prompt into Codex. AI handles code, terminal work, automated tests, documents, and evidence while you are at work or with your family.
Every evening: open the result and do only the guided owner task: clicks, decisions, real-device checks, or account-dashboard work.</x:v>
      </x:c>
      <x:c r="B6" s="26"/>
      <x:c r="C6" s="26"/>
      <x:c r="D6" s="26"/>
      <x:c r="E6" s="26"/>
      <x:c r="F6" s="26"/>
      <x:c r="G6" s="26"/>
      <x:c r="H6" s="27"/>
    </x:row>
    <x:row r="7" ht="22" customHeight="1">
      <x:c r="A7" s="28"/>
      <x:c r="B7" s="29"/>
      <x:c r="C7" s="29"/>
      <x:c r="D7" s="29"/>
      <x:c r="E7" s="29"/>
      <x:c r="F7" s="29"/>
      <x:c r="G7" s="29"/>
      <x:c r="H7" s="30"/>
    </x:row>
    <x:row r="8" ht="22" customHeight="1">
      <x:c r="A8" s="28"/>
      <x:c r="B8" s="29"/>
      <x:c r="C8" s="29"/>
      <x:c r="D8" s="29"/>
      <x:c r="E8" s="29"/>
      <x:c r="F8" s="29"/>
      <x:c r="G8" s="29"/>
      <x:c r="H8" s="30"/>
    </x:row>
    <x:row r="9" ht="22" customHeight="1">
      <x:c r="A9" s="28"/>
      <x:c r="B9" s="29"/>
      <x:c r="C9" s="29"/>
      <x:c r="D9" s="29"/>
      <x:c r="E9" s="29"/>
      <x:c r="F9" s="29"/>
      <x:c r="G9" s="29"/>
      <x:c r="H9" s="30"/>
    </x:row>
    <x:row r="10" ht="22" customHeight="1">
      <x:c r="A10" s="31"/>
      <x:c r="B10" s="32"/>
      <x:c r="C10" s="32"/>
      <x:c r="D10" s="32"/>
      <x:c r="E10" s="32"/>
      <x:c r="F10" s="32"/>
      <x:c r="G10" s="32"/>
      <x:c r="H10" s="33"/>
    </x:row>
    <x:row r="11" ht="22" customHeight="1"/>
    <x:row r="12" ht="22" customHeight="1">
      <x:c r="A12" s="5" t="str">
        <x:v>Your non-negotiable time limits</x:v>
      </x:c>
      <x:c r="B12" s="5"/>
      <x:c r="C12" s="5"/>
      <x:c r="D12" s="5"/>
      <x:c r="E12" s="5"/>
      <x:c r="F12" s="5"/>
      <x:c r="G12" s="5"/>
      <x:c r="H12" s="5"/>
    </x:row>
    <x:row r="13" ht="22" customHeight="1">
      <x:c r="A13" s="25" t="str">
        <x:v>Weekday: 10 minutes in the morning plus no more than 110 minutes in the evening. Most days are shorter.
Weekend: 15 minutes in the morning plus two blocks totalling no more than 3 hours 45 minutes. Absolute total: four hours.
When time is up, stop and mark In progress. Do not double tomorrow's work.</x:v>
      </x:c>
      <x:c r="B13" s="26"/>
      <x:c r="C13" s="26"/>
      <x:c r="D13" s="26"/>
      <x:c r="E13" s="26"/>
      <x:c r="F13" s="26"/>
      <x:c r="G13" s="26"/>
      <x:c r="H13" s="27"/>
    </x:row>
    <x:row r="14" ht="22" customHeight="1">
      <x:c r="A14" s="28"/>
      <x:c r="B14" s="29"/>
      <x:c r="C14" s="29"/>
      <x:c r="D14" s="29"/>
      <x:c r="E14" s="29"/>
      <x:c r="F14" s="29"/>
      <x:c r="G14" s="29"/>
      <x:c r="H14" s="30"/>
    </x:row>
    <x:row r="15" ht="22" customHeight="1">
      <x:c r="A15" s="28"/>
      <x:c r="B15" s="29"/>
      <x:c r="C15" s="29"/>
      <x:c r="D15" s="29"/>
      <x:c r="E15" s="29"/>
      <x:c r="F15" s="29"/>
      <x:c r="G15" s="29"/>
      <x:c r="H15" s="30"/>
    </x:row>
    <x:row r="16" ht="22" customHeight="1">
      <x:c r="A16" s="28"/>
      <x:c r="B16" s="29"/>
      <x:c r="C16" s="29"/>
      <x:c r="D16" s="29"/>
      <x:c r="E16" s="29"/>
      <x:c r="F16" s="29"/>
      <x:c r="G16" s="29"/>
      <x:c r="H16" s="30"/>
    </x:row>
    <x:row r="17" ht="22" customHeight="1">
      <x:c r="A17" s="31"/>
      <x:c r="B17" s="32"/>
      <x:c r="C17" s="32"/>
      <x:c r="D17" s="32"/>
      <x:c r="E17" s="32"/>
      <x:c r="F17" s="32"/>
      <x:c r="G17" s="32"/>
      <x:c r="H17" s="33"/>
    </x:row>
    <x:row r="18" ht="22" customHeight="1"/>
    <x:row r="19" ht="22" customHeight="1">
      <x:c r="A19" s="5" t="str">
        <x:v>How to use the Daily Guide</x:v>
      </x:c>
      <x:c r="B19" s="5"/>
      <x:c r="C19" s="5"/>
      <x:c r="D19" s="5"/>
      <x:c r="E19" s="5"/>
      <x:c r="F19" s="5"/>
      <x:c r="G19" s="5"/>
      <x:c r="H19" s="5"/>
    </x:row>
    <x:row r="20" ht="22" customHeight="1">
      <x:c r="A20" s="25" t="str">
        <x:v>1. Find today's row.
2. Copy its entire morning prompt into Codex before work.
3. In the evening, read Codex's result and your Owner instructions.
4. Follow one step at a time and report exactly what appears.
5. Set Status to Done, In progress, or Blocked and add a note.
6. Work in order. Never skip a failed hard gate.</x:v>
      </x:c>
      <x:c r="B20" s="26"/>
      <x:c r="C20" s="26"/>
      <x:c r="D20" s="26"/>
      <x:c r="E20" s="26"/>
      <x:c r="F20" s="26"/>
      <x:c r="G20" s="26"/>
      <x:c r="H20" s="27"/>
    </x:row>
    <x:row r="21" ht="22" customHeight="1">
      <x:c r="A21" s="28"/>
      <x:c r="B21" s="29"/>
      <x:c r="C21" s="29"/>
      <x:c r="D21" s="29"/>
      <x:c r="E21" s="29"/>
      <x:c r="F21" s="29"/>
      <x:c r="G21" s="29"/>
      <x:c r="H21" s="30"/>
    </x:row>
    <x:row r="22" ht="22" customHeight="1">
      <x:c r="A22" s="28"/>
      <x:c r="B22" s="29"/>
      <x:c r="C22" s="29"/>
      <x:c r="D22" s="29"/>
      <x:c r="E22" s="29"/>
      <x:c r="F22" s="29"/>
      <x:c r="G22" s="29"/>
      <x:c r="H22" s="30"/>
    </x:row>
    <x:row r="23" ht="22" customHeight="1">
      <x:c r="A23" s="28"/>
      <x:c r="B23" s="29"/>
      <x:c r="C23" s="29"/>
      <x:c r="D23" s="29"/>
      <x:c r="E23" s="29"/>
      <x:c r="F23" s="29"/>
      <x:c r="G23" s="29"/>
      <x:c r="H23" s="30"/>
    </x:row>
    <x:row r="24" ht="22" customHeight="1">
      <x:c r="A24" s="31"/>
      <x:c r="B24" s="32"/>
      <x:c r="C24" s="32"/>
      <x:c r="D24" s="32"/>
      <x:c r="E24" s="32"/>
      <x:c r="F24" s="32"/>
      <x:c r="G24" s="32"/>
      <x:c r="H24" s="33"/>
    </x:row>
    <x:row r="25" ht="22" customHeight="1"/>
    <x:row r="26" ht="22" customHeight="1">
      <x:c r="A26" s="5" t="str">
        <x:v>Safety rules</x:v>
      </x:c>
      <x:c r="B26" s="5"/>
      <x:c r="C26" s="5"/>
      <x:c r="D26" s="5"/>
      <x:c r="E26" s="5"/>
      <x:c r="F26" s="5"/>
      <x:c r="G26" s="5"/>
      <x:c r="H26" s="5"/>
    </x:row>
    <x:row r="27" ht="22" customHeight="1">
      <x:c r="A27" s="25" t="str">
        <x:v>Never paste passwords, API keys, recovery codes, or secrets into chat or this workbook. Use disposable data and designated test accounts. Stop when a screen differs from the instructions. Never test deletion or permissions with the owner/admin account. Real checkout stays off until the rehearsal passes.</x:v>
      </x:c>
      <x:c r="B27" s="26"/>
      <x:c r="C27" s="26"/>
      <x:c r="D27" s="26"/>
      <x:c r="E27" s="26"/>
      <x:c r="F27" s="26"/>
      <x:c r="G27" s="26"/>
      <x:c r="H27" s="27"/>
    </x:row>
    <x:row r="28" ht="22" customHeight="1">
      <x:c r="A28" s="28"/>
      <x:c r="B28" s="29"/>
      <x:c r="C28" s="29"/>
      <x:c r="D28" s="29"/>
      <x:c r="E28" s="29"/>
      <x:c r="F28" s="29"/>
      <x:c r="G28" s="29"/>
      <x:c r="H28" s="30"/>
    </x:row>
    <x:row r="29" ht="22" customHeight="1">
      <x:c r="A29" s="28"/>
      <x:c r="B29" s="29"/>
      <x:c r="C29" s="29"/>
      <x:c r="D29" s="29"/>
      <x:c r="E29" s="29"/>
      <x:c r="F29" s="29"/>
      <x:c r="G29" s="29"/>
      <x:c r="H29" s="30"/>
    </x:row>
    <x:row r="30" ht="22" customHeight="1">
      <x:c r="A30" s="28"/>
      <x:c r="B30" s="29"/>
      <x:c r="C30" s="29"/>
      <x:c r="D30" s="29"/>
      <x:c r="E30" s="29"/>
      <x:c r="F30" s="29"/>
      <x:c r="G30" s="29"/>
      <x:c r="H30" s="30"/>
    </x:row>
    <x:row r="31" ht="22" customHeight="1">
      <x:c r="A31" s="31"/>
      <x:c r="B31" s="32"/>
      <x:c r="C31" s="32"/>
      <x:c r="D31" s="32"/>
      <x:c r="E31" s="32"/>
      <x:c r="F31" s="32"/>
      <x:c r="G31" s="32"/>
      <x:c r="H31" s="33"/>
    </x:row>
    <x:row r="32" ht="22" customHeight="1"/>
    <x:row r="33" ht="22" customHeight="1">
      <x:c r="A33" s="5" t="str">
        <x:v>Beta closure and launch</x:v>
      </x:c>
      <x:c r="B33" s="5"/>
      <x:c r="C33" s="5"/>
      <x:c r="D33" s="5"/>
      <x:c r="E33" s="5"/>
      <x:c r="F33" s="5"/>
      <x:c r="G33" s="5"/>
      <x:c r="H33" s="5"/>
    </x:row>
    <x:row r="34" ht="22" customHeight="1">
      <x:c r="A34" s="25" t="str">
        <x:v>31 October: rehearse; checkout stays off.
1 November: if every gate is green, deploy quietly, remove Beta as a public tier, stop new Beta grants, preserve existing testers' access and exports, enable checkout, and complete one real purchase. No ads.
2 November: verify overnight health, then announce and market.</x:v>
      </x:c>
      <x:c r="B34" s="26"/>
      <x:c r="C34" s="26"/>
      <x:c r="D34" s="26"/>
      <x:c r="E34" s="26"/>
      <x:c r="F34" s="26"/>
      <x:c r="G34" s="26"/>
      <x:c r="H34" s="27"/>
    </x:row>
    <x:row r="35" ht="22" customHeight="1">
      <x:c r="A35" s="28"/>
      <x:c r="B35" s="29"/>
      <x:c r="C35" s="29"/>
      <x:c r="D35" s="29"/>
      <x:c r="E35" s="29"/>
      <x:c r="F35" s="29"/>
      <x:c r="G35" s="29"/>
      <x:c r="H35" s="30"/>
    </x:row>
    <x:row r="36" ht="22" customHeight="1">
      <x:c r="A36" s="28"/>
      <x:c r="B36" s="29"/>
      <x:c r="C36" s="29"/>
      <x:c r="D36" s="29"/>
      <x:c r="E36" s="29"/>
      <x:c r="F36" s="29"/>
      <x:c r="G36" s="29"/>
      <x:c r="H36" s="30"/>
    </x:row>
    <x:row r="37" ht="22" customHeight="1">
      <x:c r="A37" s="28"/>
      <x:c r="B37" s="29"/>
      <x:c r="C37" s="29"/>
      <x:c r="D37" s="29"/>
      <x:c r="E37" s="29"/>
      <x:c r="F37" s="29"/>
      <x:c r="G37" s="29"/>
      <x:c r="H37" s="30"/>
    </x:row>
    <x:row r="38" ht="22" customHeight="1">
      <x:c r="A38" s="31"/>
      <x:c r="B38" s="32"/>
      <x:c r="C38" s="32"/>
      <x:c r="D38" s="32"/>
      <x:c r="E38" s="32"/>
      <x:c r="F38" s="32"/>
      <x:c r="G38" s="32"/>
      <x:c r="H38" s="33"/>
    </x:row>
    <x:row r="39" ht="22" customHeight="1"/>
    <x:row r="40" ht="22" customHeight="1">
      <x:c r="A40" s="5" t="str">
        <x:v>If something fails</x:v>
      </x:c>
      <x:c r="B40" s="5"/>
      <x:c r="C40" s="5"/>
      <x:c r="D40" s="5"/>
      <x:c r="E40" s="5"/>
      <x:c r="F40" s="5"/>
      <x:c r="G40" s="5"/>
      <x:c r="H40" s="5"/>
    </x:row>
    <x:row r="41" ht="22" customHeight="1">
      <x:c r="A41" s="25" t="str">
        <x:v>A failed auth, data-loss, save, export, desktop, legal, payment, or release-candidate gate moves launch. That is a safety decision, not a personal failure. Record the evidence, stop safely, and let AI prepare the repair. Cosmetic polish and new ideas wait until after launch.</x:v>
      </x:c>
      <x:c r="B41" s="26"/>
      <x:c r="C41" s="26"/>
      <x:c r="D41" s="26"/>
      <x:c r="E41" s="26"/>
      <x:c r="F41" s="26"/>
      <x:c r="G41" s="26"/>
      <x:c r="H41" s="27"/>
    </x:row>
    <x:row r="42" ht="22" customHeight="1">
      <x:c r="A42" s="28"/>
      <x:c r="B42" s="29"/>
      <x:c r="C42" s="29"/>
      <x:c r="D42" s="29"/>
      <x:c r="E42" s="29"/>
      <x:c r="F42" s="29"/>
      <x:c r="G42" s="29"/>
      <x:c r="H42" s="30"/>
    </x:row>
    <x:row r="43" ht="22" customHeight="1">
      <x:c r="A43" s="28"/>
      <x:c r="B43" s="29"/>
      <x:c r="C43" s="29"/>
      <x:c r="D43" s="29"/>
      <x:c r="E43" s="29"/>
      <x:c r="F43" s="29"/>
      <x:c r="G43" s="29"/>
      <x:c r="H43" s="30"/>
    </x:row>
    <x:row r="44" ht="22" customHeight="1">
      <x:c r="A44" s="28"/>
      <x:c r="B44" s="29"/>
      <x:c r="C44" s="29"/>
      <x:c r="D44" s="29"/>
      <x:c r="E44" s="29"/>
      <x:c r="F44" s="29"/>
      <x:c r="G44" s="29"/>
      <x:c r="H44" s="30"/>
    </x:row>
    <x:row r="45" ht="22" customHeight="1">
      <x:c r="A45" s="31"/>
      <x:c r="B45" s="32"/>
      <x:c r="C45" s="32"/>
      <x:c r="D45" s="32"/>
      <x:c r="E45" s="32"/>
      <x:c r="F45" s="32"/>
      <x:c r="G45" s="32"/>
      <x:c r="H45" s="33"/>
    </x:row>
    <x:row r="46" ht="22" customHeight="1"/>
    <x:row r="47" ht="22" customHeight="1">
      <x:c r="A47" s="5" t="str">
        <x:v>Import the calendar</x:v>
      </x:c>
      <x:c r="B47" s="5"/>
      <x:c r="C47" s="5"/>
      <x:c r="D47" s="5"/>
      <x:c r="E47" s="5"/>
      <x:c r="F47" s="5"/>
      <x:c r="G47" s="5"/>
      <x:c r="H47" s="5"/>
    </x:row>
    <x:row r="48" ht="22" customHeight="1">
      <x:c r="A48" s="25" t="str">
        <x:v>Apple Calendar: File → Import → choose YOW-November-Launch-Calendar.ics.
Google Calendar: Settings → Import &amp; export → Import → choose the .ics file.
Outlook: Add calendar → Upload from file.
Weekdays: 7:30 AM handoff and 8:30 PM owner block. Weekends: 8:30 AM handoff plus two blocks. Times use Europe/London and can be dragged to fit your routine.</x:v>
      </x:c>
      <x:c r="B48" s="26"/>
      <x:c r="C48" s="26"/>
      <x:c r="D48" s="26"/>
      <x:c r="E48" s="26"/>
      <x:c r="F48" s="26"/>
      <x:c r="G48" s="26"/>
      <x:c r="H48" s="27"/>
    </x:row>
    <x:row r="49" ht="22" customHeight="1">
      <x:c r="A49" s="28"/>
      <x:c r="B49" s="29"/>
      <x:c r="C49" s="29"/>
      <x:c r="D49" s="29"/>
      <x:c r="E49" s="29"/>
      <x:c r="F49" s="29"/>
      <x:c r="G49" s="29"/>
      <x:c r="H49" s="30"/>
    </x:row>
    <x:row r="50" ht="22" customHeight="1">
      <x:c r="A50" s="28"/>
      <x:c r="B50" s="29"/>
      <x:c r="C50" s="29"/>
      <x:c r="D50" s="29"/>
      <x:c r="E50" s="29"/>
      <x:c r="F50" s="29"/>
      <x:c r="G50" s="29"/>
      <x:c r="H50" s="30"/>
    </x:row>
    <x:row r="51" ht="22" customHeight="1">
      <x:c r="A51" s="28"/>
      <x:c r="B51" s="29"/>
      <x:c r="C51" s="29"/>
      <x:c r="D51" s="29"/>
      <x:c r="E51" s="29"/>
      <x:c r="F51" s="29"/>
      <x:c r="G51" s="29"/>
      <x:c r="H51" s="30"/>
    </x:row>
    <x:row r="52" ht="22" customHeight="1">
      <x:c r="A52" s="31"/>
      <x:c r="B52" s="32"/>
      <x:c r="C52" s="32"/>
      <x:c r="D52" s="32"/>
      <x:c r="E52" s="32"/>
      <x:c r="F52" s="32"/>
      <x:c r="G52" s="32"/>
      <x:c r="H52" s="33"/>
    </x:row>
  </x:sheetData>
  <x:mergeCells>
    <x:mergeCell ref="A2:H2"/>
    <x:mergeCell ref="A3:H3"/>
    <x:mergeCell ref="A5:H5"/>
    <x:mergeCell ref="A6:H10"/>
    <x:mergeCell ref="A12:H12"/>
    <x:mergeCell ref="A13:H17"/>
    <x:mergeCell ref="A19:H19"/>
    <x:mergeCell ref="A20:H24"/>
    <x:mergeCell ref="A26:H26"/>
    <x:mergeCell ref="A27:H31"/>
    <x:mergeCell ref="A33:H33"/>
    <x:mergeCell ref="A34:H38"/>
    <x:mergeCell ref="A40:H40"/>
    <x:mergeCell ref="A41:H45"/>
    <x:mergeCell ref="A47:H47"/>
    <x:mergeCell ref="A48:H52"/>
  </x:mergeCells>
  <x:pageMargins left="0.7" right="0.7" top="0.75" bottom="0.75" header="0.3" footer="0.3"/>
</x:worksheet>
</file>

<file path=xl/worksheets/sheet2.xml><?xml version="1.0" encoding="utf-8"?>
<x:worksheet xmlns:x="http://schemas.openxmlformats.org/spreadsheetml/2006/main">
  <x:sheetPr>
    <x:tabColor rgb="FF2B7A78"/>
  </x:sheetPr>
  <x:sheetViews>
    <x:sheetView showGridLines="0" workbookViewId="0">
      <x:pane xSplit="3" ySplit="10" topLeftCell="D11" activePane="bottomRight" state="frozen"/>
    </x:sheetView>
  </x:sheetViews>
  <x:sheetFormatPr defaultRowHeight="15"/>
  <x:cols>
    <x:col min="1" max="1" width="14" hidden="0" customWidth="1"/>
    <x:col min="2" max="2" width="12" hidden="0" customWidth="1"/>
    <x:col min="3" max="3" width="22" hidden="0" customWidth="1"/>
    <x:col min="4" max="4" width="82" hidden="0" customWidth="1"/>
    <x:col min="5" max="5" width="72" hidden="0" customWidth="1"/>
    <x:col min="6" max="6" width="21" hidden="0" customWidth="1"/>
    <x:col min="7" max="7" width="44" hidden="0" customWidth="1"/>
    <x:col min="8" max="8" width="12" hidden="0" customWidth="1"/>
    <x:col min="9" max="9" width="15" hidden="0" customWidth="1"/>
    <x:col min="10" max="10" width="34" hidden="0" customWidth="1"/>
  </x:cols>
  <x:sheetData>
    <x:row r="2">
      <x:c r="A2" s="1" t="str">
        <x:v>YOW daily guide — 28 September to 2 November 2026</x:v>
      </x:c>
    </x:row>
    <x:row r="3">
      <x:c r="A3" s="2" t="str">
        <x:v>Morning: paste one prompt. Evening/weekend: do only your guided action. Never exceed the time cap.</x:v>
      </x:c>
    </x:row>
    <x:row r="5">
      <x:c r="A5" s="41" t="str">
        <x:v>Tasks</x:v>
      </x:c>
      <x:c r="B5" s="42" t="n">
        <x:f>COUNTA(A11:A46)</x:f>
        <x:v>36</x:v>
      </x:c>
      <x:c r="D5" s="36" t="str">
        <x:v>The only rule that matters</x:v>
      </x:c>
    </x:row>
    <x:row r="6">
      <x:c r="A6" s="43" t="str">
        <x:v>Done</x:v>
      </x:c>
      <x:c r="B6" s="44" t="n">
        <x:f>COUNTIF(I11:I46,"Done")</x:f>
        <x:v>5</x:v>
      </x:c>
      <x:c r="D6" s="66" t="str">
        <x:v>AI owns the technical work. You own guided verification and decisions. Stop at the time cap. A task may remain In progress; a hard gate may not be waved through.</x:v>
      </x:c>
      <x:c r="E6" s="67"/>
      <x:c r="F6" s="67"/>
      <x:c r="G6" s="67"/>
      <x:c r="H6" s="67"/>
      <x:c r="I6" s="67"/>
      <x:c r="J6" s="68"/>
    </x:row>
    <x:row r="7">
      <x:c r="A7" s="43" t="str">
        <x:v>Remaining</x:v>
      </x:c>
      <x:c r="B7" s="44" t="n">
        <x:f>B5-B6</x:f>
        <x:v>31</x:v>
      </x:c>
      <x:c r="D7" s="69"/>
      <x:c r="E7" s="70"/>
      <x:c r="F7" s="70"/>
      <x:c r="G7" s="70"/>
      <x:c r="H7" s="70"/>
      <x:c r="I7" s="70"/>
      <x:c r="J7" s="71"/>
    </x:row>
    <x:row r="8">
      <x:c r="A8" s="43" t="str">
        <x:v>Blocked</x:v>
      </x:c>
      <x:c r="B8" s="44" t="n">
        <x:f>COUNTIF(I11:I46,"Blocked")</x:f>
        <x:v>0</x:v>
      </x:c>
      <x:c r="D8" s="69"/>
      <x:c r="E8" s="70"/>
      <x:c r="F8" s="70"/>
      <x:c r="G8" s="70"/>
      <x:c r="H8" s="70"/>
      <x:c r="I8" s="70"/>
      <x:c r="J8" s="71"/>
    </x:row>
    <x:row r="9">
      <x:c r="A9" s="45" t="str">
        <x:v>Progress</x:v>
      </x:c>
      <x:c r="B9" s="46" t="n">
        <x:f>IFERROR(B6/B5,0)</x:f>
        <x:v>0.1388888888888889</x:v>
      </x:c>
      <x:c r="D9" s="72"/>
      <x:c r="E9" s="73"/>
      <x:c r="F9" s="73"/>
      <x:c r="G9" s="73"/>
      <x:c r="H9" s="73"/>
      <x:c r="I9" s="73"/>
      <x:c r="J9" s="74"/>
    </x:row>
    <x:row r="10" ht="36" customHeight="1">
      <x:c r="A10" s="94" t="str">
        <x:v>Date</x:v>
      </x:c>
      <x:c r="B10" s="94" t="str">
        <x:v>Day</x:v>
      </x:c>
      <x:c r="C10" s="94" t="str">
        <x:v>Phase</x:v>
      </x:c>
      <x:c r="D10" s="94" t="str">
        <x:v>Morning: copy this entire prompt into Codex</x:v>
      </x:c>
      <x:c r="E10" s="94" t="str">
        <x:v>Evening / weekend: exactly what you do</x:v>
      </x:c>
      <x:c r="F10" s="94" t="str">
        <x:v>Time cap</x:v>
      </x:c>
      <x:c r="G10" s="94" t="str">
        <x:v>Done means</x:v>
      </x:c>
      <x:c r="H10" s="94" t="str">
        <x:v>Hard gate?</x:v>
      </x:c>
      <x:c r="I10" s="94" t="str">
        <x:v>Status</x:v>
      </x:c>
      <x:c r="J10" s="94" t="str">
        <x:v>Notes / evidence</x:v>
      </x:c>
    </x:row>
    <x:row r="11" ht="168" customHeight="1">
      <x:c r="A11" s="95" t="n">
        <x:v>46293.5</x:v>
      </x:c>
      <x:c r="B11" s="96" t="str">
        <x:v>Weekday</x:v>
      </x:c>
      <x:c r="C11" s="97" t="str">
        <x:v>Release &amp; data safety</x:v>
      </x:c>
      <x:c r="D11" s="98" t="str">
        <x:v>Today is 2026-09-28. Work on YOW in /Users/bishop/Desktop/Claude/yow. Read AGENTS.md and docs/ROADMAP.md first. I am a complete beginner, so own all code changes, terminal work, automated tests, documentation, evidence collection, and safe troubleshooting yourself.
MORNING TECHNICAL ASSIGNMENT
Repair the red release baseline: reconcile the Vercel route test, review the dirty checkout, run full QA, and produce a plain-English blocker report.
EVENING OWNER ACTION TO PREPARE
Review the report, approve the frozen launch scope, and make only required product decisions.
TIME LIMIT
10 min morning + 75 min evening.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1" s="98" t="str">
        <x:v>1. Morning (10 minutes): open Codex and paste the entire AI prompt from the previous column. Then leave the technical work with AI.
2. Evening: open Codex's result and follow its owner instructions one step at a time.
3. Your action: Review the report, approve the frozen launch scope, and make only required product decisions.
4. Safety: Use designated test accounts and disposable projects. Never test deletion or permissions on the owner/admin account.
5. Stop when 10 min morning + 75 min evening is used. Mark In progress or Blocked with the last successful step; never borrow time from tomorrow.
6. Mark Done only when the expected result and evidence are both present.</x:v>
      </x:c>
      <x:c r="F11" s="98" t="str">
        <x:v>10 min morning + 75 min evening</x:v>
      </x:c>
      <x:c r="G11" s="98" t="str">
        <x:v>The named test passes with saved evidence and no unresolved auth, data-loss, isolation, save, restore, or export blocker.</x:v>
      </x:c>
      <x:c r="H11" s="99" t="str">
        <x:v>Yes</x:v>
      </x:c>
      <x:c r="I11" s="99" t="str">
        <x:v>Done</x:v>
      </x:c>
      <x:c r="J11" s="98" t="str">
        <x:v>Done 2026-09-28. Vercel routing test passed 2/2, including route-specific SEO HTML for Features, Pricing, FAQ, Founders, and the founder profile before the SPA catch-all. Full npm run qa passed: 131/131 test files, 1,203/1,203 tests, zero lint errors, production build, 214-file load check, all 48 Playwright specs represented in CI, and all 12 API routes imported cleanly. Generated SEO pages had distinct titles and canonical www URLs. Dirty checkout reviewed; unrelated changes preserved. Evidence saved in docs/ROADMAP.md and docs/QA_PLAN.md. No commit, deployment, billing, email, or public action was performed. Wider launch-gate verification remains tracked separately and does not change this task from Done.</x:v>
      </x:c>
    </x:row>
    <x:row r="12" ht="168" customHeight="1">
      <x:c r="A12" s="95" t="n">
        <x:v>46294.5</x:v>
      </x:c>
      <x:c r="B12" s="96" t="str">
        <x:v>Weekday</x:v>
      </x:c>
      <x:c r="C12" s="97" t="str">
        <x:v>Release &amp; data safety</x:v>
      </x:c>
      <x:c r="D12" s="98" t="str">
        <x:v>Today is 2026-09-29. Work on YOW in /Users/bishop/Desktop/Claude/yow. Read AGENTS.md and docs/ROADMAP.md first. I am a complete beginner, so own all code changes, terminal work, automated tests, documentation, evidence collection, and safe troubleshooting yourself.
MORNING TECHNICAL ASSIGNMENT
Finish baseline fixes, rerun all release checks, classify remaining warnings by launch risk, and prepare a safe smoke-test script.
EVENING OWNER ACTION TO PREPARE
Run sign-in → open/create project → write → refresh → export; report exactly what appears.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2" s="98" t="str">
        <x:v>1. Morning (10 minutes): open Codex and paste the entire AI prompt from the previous column. Then leave the technical work with AI.
2. Evening: open Codex's result and follow its owner instructions one step at a time.
3. Your action: Run sign-in → open/create project → write → refresh → export; report exactly what appears.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2" s="98" t="str">
        <x:v>10 min + 90 min</x:v>
      </x:c>
      <x:c r="G12" s="98" t="str">
        <x:v>The named test passes with saved evidence and no unresolved auth, data-loss, isolation, save, restore, or export blocker.</x:v>
      </x:c>
      <x:c r="H12" s="99" t="str">
        <x:v>Yes</x:v>
      </x:c>
      <x:c r="I12" s="99" t="str">
        <x:v>Done</x:v>
      </x:c>
      <x:c r="J12" s="98" t="str">
        <x:v>Done 2026-09-29. Focused Vercel route regression passed 2/2. Full npm run qa passed: 131/131 test files, 1,203/1,203 tests, zero lint errors, production build, 214-file load check, all 48 Playwright specs represented in CI, and all 12 API routes imported cleanly. Warnings classified: 8 verification-relevant, 68 performance/React-compiler, 27 development cleanup; 3 existing build performance notices. Live Safari smoke passed on test2@yourownworld.co.uk: project library and DELETE SAFE overview loaded; Opening Scene marker saved, survived refresh once, and appeared once in the new manual backup. New ZIP passed all 18 integrity checks. SHA-256 857d5a60fe7271cec42c1be9059f05247832e9e8b1adbe77f0fbad1f98e92519. Browser clock reports 27 September, explaining the date-based filename. No deployment, billing, email, public action, import, restore, merge, or delete was performed.</x:v>
      </x:c>
    </x:row>
    <x:row r="13" ht="168" customHeight="1">
      <x:c r="A13" s="95" t="n">
        <x:v>46295.5</x:v>
      </x:c>
      <x:c r="B13" s="96" t="str">
        <x:v>Weekday</x:v>
      </x:c>
      <x:c r="C13" s="97" t="str">
        <x:v>Release &amp; data safety</x:v>
      </x:c>
      <x:c r="D13" s="98" t="str">
        <x:v>Today is 2026-09-30. Work on YOW in /Users/bishop/Desktop/Claude/yow. Read AGENTS.md and docs/ROADMAP.md first. I am a complete beginner, so own all code changes, terminal work, automated tests, documentation, evidence collection, and safe troubleshooting yourself.
MORNING TECHNICAL ASSIGNMENT
Audit the pending Supabase migrations, production prerequisites, rollback steps, and Security Advisor checks; prepare one-step owner instructions.
EVENING OWNER ACTION TO PREPARE
Open Supabase with Codex guidance, apply only the verified migrations, and record the results.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3" s="98" t="str">
        <x:v>1. Morning (10 minutes): open Codex and paste the entire AI prompt from the previous column. Then leave the technical work with AI.
2. Evening: open Codex's result and follow its owner instructions one step at a time.
3. Your action: Open Supabase with Codex guidance, apply only the verified migrations, and record the results.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3" s="98" t="str">
        <x:v>10 min + 90 min</x:v>
      </x:c>
      <x:c r="G13" s="98" t="str">
        <x:v>The named test passes with saved evidence and no unresolved auth, data-loss, isolation, save, restore, or export blocker.</x:v>
      </x:c>
      <x:c r="H13" s="99" t="str">
        <x:v>Yes</x:v>
      </x:c>
      <x:c r="I13" s="99" t="str">
        <x:v>Done</x:v>
      </x:c>
      <x:c r="J13" s="98" t="str">
        <x:v>Done 2026-09-30. Production history showed 20260912193000 and 20260914223000 already applied; neither was rerun. Added and applied only 20260930211500 after an exact dry run. Local and remote history align; the repeat dry run is up to date; linked lint is clean; focused tests passed 20/20; Advisor 0028/0029 are absent. The current plan has no scheduled backups; this correction changed future function grants only and no customer rows. Existing Advisor items recorded: leaked-password protection, duplicate owner-only scenes policies, and a disk-I/O notice. No customer data, billing, Auth users, restore, email, SQL Editor, or public action was touched. Evidence: docs/QA_PLAN.md and docs/ROADMAP.md.</x:v>
      </x:c>
    </x:row>
    <x:row r="14" ht="168" customHeight="1">
      <x:c r="A14" s="95" t="n">
        <x:v>46296.5</x:v>
      </x:c>
      <x:c r="B14" s="96" t="str">
        <x:v>Weekday</x:v>
      </x:c>
      <x:c r="C14" s="97" t="str">
        <x:v>Release &amp; data safety</x:v>
      </x:c>
      <x:c r="D14" s="98" t="str">
        <x:v>Today is 2026-10-01. Work on YOW in /Users/bishop/Desktop/Claude/yow. Read AGENTS.md and docs/ROADMAP.md first. I am a complete beginner, so own all code changes, terminal work, automated tests, documentation, evidence collection, and safe troubleshooting yourself.
MORNING TECHNICAL ASSIGNMENT
Prepare and monitor the real two-tab scene-concurrency acceptance test; fix any reproducible failure and rerun automated coverage.
EVENING OWNER ACTION TO PREPARE
Perform the guided same-scene two-tab test and review or discard the conflict copy.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4" s="98" t="str">
        <x:v>1. Morning (10 minutes): open Codex and paste the entire AI prompt from the previous column. Then leave the technical work with AI.
2. Evening: open Codex's result and follow its owner instructions one step at a time.
3. Your action: Perform the guided same-scene two-tab test and review or discard the conflict copy.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4" s="98" t="str">
        <x:v>10 min + 90 min</x:v>
      </x:c>
      <x:c r="G14" s="98" t="str">
        <x:v>The named test passes with saved evidence and no unresolved auth, data-loss, isolation, save, restore, or export blocker.</x:v>
      </x:c>
      <x:c r="H14" s="99" t="str">
        <x:v>Yes</x:v>
      </x:c>
      <x:c r="I14" s="99" t="str">
        <x:v>Done</x:v>
      </x:c>
      <x:c r="J14" s="98" t="str">
        <x:v>Done 2026-10-01. Regular Safari two-tab warning and release passed before typing. Conflict-copy retention, review, discard, and reload persistence passed; no prose loss or copies remained. Private Safari lacked the proactive pre-typing warning, but conflicts still retained both versions (browser-mode limitation, not a data-loss blocker). Deployed PRs #225–#227, commit 3ef7d49. Clean QA: 132/132 files, 1,247/1,247 tests; Playwright 8/8; public HTTP 200. ROADMAP and QA plan updated.</x:v>
      </x:c>
    </x:row>
    <x:row r="15" ht="168" customHeight="1">
      <x:c r="A15" s="95" t="n">
        <x:v>46297.5</x:v>
      </x:c>
      <x:c r="B15" s="96" t="str">
        <x:v>Weekday</x:v>
      </x:c>
      <x:c r="C15" s="97" t="str">
        <x:v>Release &amp; data safety</x:v>
      </x:c>
      <x:c r="D15" s="98" t="str">
        <x:v>Today is 2026-10-02. Work on YOW in /Users/bishop/Desktop/Claude/yow. Read AGENTS.md and docs/ROADMAP.md first. I am a complete beginner, so own all code changes, terminal work, automated tests, documentation, evidence collection, and safe troubleshooting yourself.
MORNING TECHNICAL ASSIGNMENT
Prepare the two-account/account-switch entitlement-isolation test and inspect all server-side entitlement paths.
EVENING OWNER ACTION TO PREPARE
Run the guided two-account test using designated test accounts only.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5" s="98" t="str">
        <x:v>1. Morning (10 minutes): open Codex and paste the entire AI prompt from the previous column. Then leave the technical work with AI.
2. Evening: open Codex's result and follow its owner instructions one step at a time.
3. Your action: Run the guided two-account test using designated test accounts only.
4. Safety: Use designated test accounts and disposable projects. Never test deletion or permissions on the owner/admin account.
5. Stop when 10 min + 90 min is used. Mark In progress or Blocked with the last successful step; never borrow time from tomorrow.
6. Mark Done only when the expected result and evidence are both present.</x:v>
      </x:c>
      <x:c r="F15" s="98" t="str">
        <x:v>10 min + 90 min</x:v>
      </x:c>
      <x:c r="G15" s="98" t="str">
        <x:v>The named test passes with saved evidence and no unresolved auth, data-loss, isolation, save, restore, or export blocker.</x:v>
      </x:c>
      <x:c r="H15" s="99" t="str">
        <x:v>Yes</x:v>
      </x:c>
      <x:c r="I15" s="99" t="str">
        <x:v>Done</x:v>
      </x:c>
      <x:c r="J15" s="98" t="str">
        <x:v>Done 2026-10-02. Guided regular-Safari test2 Beta → test1 Free → test2 Beta passed: correct identities, isolated project libraries, Free/Beta entitlement switching and restoration, and no AI-key carry-over. Fixed account-switch cleanup to purge all orphaned or not-yet-hydrated scene prose and tracked-change keys. Release candidate passed 132/132 files and 1,248/1,248 tests; focused browser isolation passed 3/3. PR #228 passed all 53 CI jobs, merged as 8a5ba3bd, and deployed successfully to Vercel production. The public bundle index-Bh4QrQgI.js contains both key-prefix sweeps. No project, plan, billing, key, import, restore, deletion, download, email, secret, or public content changed during the guided test.</x:v>
      </x:c>
    </x:row>
    <x:row r="16" ht="168" customHeight="1">
      <x:c r="A16" s="95" t="n">
        <x:v>46298.5</x:v>
      </x:c>
      <x:c r="B16" s="100" t="str">
        <x:v>Weekend</x:v>
      </x:c>
      <x:c r="C16" s="97" t="str">
        <x:v>Release &amp; data safety</x:v>
      </x:c>
      <x:c r="D16" s="98" t="str">
        <x:v>Today is 2026-10-03. Work on YOW in /Users/bishop/Desktop/Claude/yow. Read AGENTS.md and docs/ROADMAP.md first. I am a complete beginner, so own all code changes, terminal work, automated tests, documentation, evidence collection, and safe troubleshooting yourself.
MORNING TECHNICAL ASSIGNMENT
Drive the destructive-action, rollback, media, and quota test suite; prepare disposable fixtures and one-step instructions.
EVENING OWNER ACTION TO PREPARE
Test project deletion/restore, account deletion fixture, media replace/delete, and quota accounting in two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6"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Test project deletion/restore, account deletion fixture, media replace/delete, and quota accounting in two blocks.
4. Safety: Use designated test accounts and disposable projects. Never test deletion or permissions on the owner/admin account.
5. Stop when 15 min + up to 3 h 45 min is used. Mark In progress or Blocked with the last successful step; never borrow time from tomorrow.
6. Mark Done only when the expected result and evidence are both present.</x:v>
      </x:c>
      <x:c r="F16" s="98" t="str">
        <x:v>15 min + up to 3 h 45 min</x:v>
      </x:c>
      <x:c r="G16" s="98" t="str">
        <x:v>The named test passes with saved evidence and no unresolved auth, data-loss, isolation, save, restore, or export blocker.</x:v>
      </x:c>
      <x:c r="H16" s="99" t="str">
        <x:v>Yes</x:v>
      </x:c>
      <x:c r="I16" s="99" t="str">
        <x:v>Not started</x:v>
      </x:c>
      <x:c r="J16" s="98" t="str"/>
    </x:row>
    <x:row r="17" ht="168" customHeight="1">
      <x:c r="A17" s="95" t="n">
        <x:v>46299.5</x:v>
      </x:c>
      <x:c r="B17" s="100" t="str">
        <x:v>Weekend</x:v>
      </x:c>
      <x:c r="C17" s="97" t="str">
        <x:v>Release &amp; data safety</x:v>
      </x:c>
      <x:c r="D17" s="98" t="str">
        <x:v>Today is 2026-10-04. Work on YOW in /Users/bishop/Desktop/Claude/yow. Read AGENTS.md and docs/ROADMAP.md first. I am a complete beginner, so own all code changes, terminal work, automated tests, documentation, evidence collection, and safe troubleshooting yourself.
MORNING TECHNICAL ASSIGNMENT
Run export/import collision and full-account ownership checks; repair failures and assemble Data Safety Gate evidence.
EVENING OWNER ACTION TO PREPARE
Export, inspect, restore/import, and complete the Data Safety go/no-go review.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test passes with saved evidence and no unresolved auth, data-loss, isolation, save, restore, or export blocker.
At the end, state Done, In progress, or Blocked; list the evidence; and name the single next action if unfinished.</x:v>
      </x:c>
      <x:c r="E17"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Export, inspect, restore/import, and complete the Data Safety go/no-go review.
4. Safety: Use designated test accounts and disposable projects. Never test deletion or permissions on the owner/admin account.
5. Stop when 15 min + up to 3 h 45 min is used. Mark In progress or Blocked with the last successful step; never borrow time from tomorrow.
6. Mark Done only when the expected result and evidence are both present.</x:v>
      </x:c>
      <x:c r="F17" s="98" t="str">
        <x:v>15 min + up to 3 h 45 min</x:v>
      </x:c>
      <x:c r="G17" s="98" t="str">
        <x:v>The named test passes with saved evidence and no unresolved auth, data-loss, isolation, save, restore, or export blocker.</x:v>
      </x:c>
      <x:c r="H17" s="99" t="str">
        <x:v>Yes</x:v>
      </x:c>
      <x:c r="I17" s="99" t="str">
        <x:v>Not started</x:v>
      </x:c>
      <x:c r="J17" s="98" t="str"/>
    </x:row>
    <x:row r="18" ht="168" customHeight="1">
      <x:c r="A18" s="95" t="n">
        <x:v>46300.5</x:v>
      </x:c>
      <x:c r="B18" s="96" t="str">
        <x:v>Weekday</x:v>
      </x:c>
      <x:c r="C18" s="101" t="str">
        <x:v>Cloud &amp; security</x:v>
      </x:c>
      <x:c r="D18" s="98" t="str">
        <x:v>Today is 2026-10-05. Work on YOW in /Users/bishop/Desktop/Claude/yow. Read AGENTS.md and docs/ROADMAP.md first. I am a complete beginner, so own all code changes, terminal work, automated tests, documentation, evidence collection, and safe troubleshooting yourself.
MORNING TECHNICAL ASSIGNMENT
Audit and live-check AI proxy, email endpoints, CORS, durable rate limits, token rejection, and deployed security headers.
EVENING OWNER ACTION TO PREPARE
Follow the safe browser/dashboard checks and record only pass/fail evidence.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18" s="98" t="str">
        <x:v>1. Morning (10 minutes): open Codex and paste the entire AI prompt from the previous column. Then leave the technical work with AI.
2. Evening: open Codex's result and follow its owner instructions one step at a time.
3. Your action: Follow the safe browser/dashboard checks and record only pass/fail evidence.
4. Safety: Back up first. Never paste credentials, API keys, recovery codes, or secret values into chat.
5. Stop when 10 min + 90 min is used. Mark In progress or Blocked with the last successful step; never borrow time from tomorrow.
6. Mark Done only when the expected result and evidence are both present.</x:v>
      </x:c>
      <x:c r="F18" s="98" t="str">
        <x:v>10 min + 90 min</x:v>
      </x:c>
      <x:c r="G18" s="98" t="str">
        <x:v>The named production or export check passes with saved evidence and no unresolved security, ownership, storage, or lifecycle blocker.</x:v>
      </x:c>
      <x:c r="H18" s="99" t="str">
        <x:v>Yes</x:v>
      </x:c>
      <x:c r="I18" s="99" t="str">
        <x:v>Not started</x:v>
      </x:c>
      <x:c r="J18" s="98" t="str"/>
    </x:row>
    <x:row r="19" ht="168" customHeight="1">
      <x:c r="A19" s="95" t="n">
        <x:v>46301.5</x:v>
      </x:c>
      <x:c r="B19" s="96" t="str">
        <x:v>Weekday</x:v>
      </x:c>
      <x:c r="C19" s="101" t="str">
        <x:v>Cloud &amp; security</x:v>
      </x:c>
      <x:c r="D19" s="98" t="str">
        <x:v>Today is 2026-10-06. Work on YOW in /Users/bishop/Desktop/Claude/yow. Read AGENTS.md and docs/ROADMAP.md first. I am a complete beginner, so own all code changes, terminal work, automated tests, documentation, evidence collection, and safe troubleshooting yourself.
MORNING TECHNICAL ASSIGNMENT
Complete private-media RLS and storage-accounting verification, including replacement and deletion cleanup.
EVENING OWNER ACTION TO PREPARE
Upload, replace, delete, and verify one disposable image and its storage figure.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19" s="98" t="str">
        <x:v>1. Morning (10 minutes): open Codex and paste the entire AI prompt from the previous column. Then leave the technical work with AI.
2. Evening: open Codex's result and follow its owner instructions one step at a time.
3. Your action: Upload, replace, delete, and verify one disposable image and its storage figure.
4. Safety: Back up first. Never paste credentials, API keys, recovery codes, or secret values into chat.
5. Stop when 10 min + 75 min is used. Mark In progress or Blocked with the last successful step; never borrow time from tomorrow.
6. Mark Done only when the expected result and evidence are both present.</x:v>
      </x:c>
      <x:c r="F19" s="98" t="str">
        <x:v>10 min + 75 min</x:v>
      </x:c>
      <x:c r="G19" s="98" t="str">
        <x:v>The named production or export check passes with saved evidence and no unresolved security, ownership, storage, or lifecycle blocker.</x:v>
      </x:c>
      <x:c r="H19" s="99" t="str">
        <x:v>Yes</x:v>
      </x:c>
      <x:c r="I19" s="99" t="str">
        <x:v>Not started</x:v>
      </x:c>
      <x:c r="J19" s="98" t="str"/>
    </x:row>
    <x:row r="20" ht="168" customHeight="1">
      <x:c r="A20" s="95" t="n">
        <x:v>46302.5</x:v>
      </x:c>
      <x:c r="B20" s="96" t="str">
        <x:v>Weekday</x:v>
      </x:c>
      <x:c r="C20" s="101" t="str">
        <x:v>Cloud &amp; security</x:v>
      </x:c>
      <x:c r="D20" s="98" t="str">
        <x:v>Today is 2026-10-07. Work on YOW in /Users/bishop/Desktop/Claude/yow. Read AGENTS.md and docs/ROADMAP.md first. I am a complete beginner, so own all code changes, terminal work, automated tests, documentation, evidence collection, and safe troubleshooting yourself.
MORNING TECHNICAL ASSIGNMENT
Finish the cloud-expiry/inactive-account lifecycle implementation and tests: notices, Export All, grace, archive/delete, and cloud-write shutdown.
EVENING OWNER ACTION TO PREPARE
Review the customer-visible sequence and approve the exact wording.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0" s="98" t="str">
        <x:v>1. Morning (10 minutes): open Codex and paste the entire AI prompt from the previous column. Then leave the technical work with AI.
2. Evening: open Codex's result and follow its owner instructions one step at a time.
3. Your action: Review the customer-visible sequence and approve the exact wording.
4. Safety: Back up first. Never paste credentials, API keys, recovery codes, or secret values into chat.
5. Stop when 10 min + 75 min is used. Mark In progress or Blocked with the last successful step; never borrow time from tomorrow.
6. Mark Done only when the expected result and evidence are both present.</x:v>
      </x:c>
      <x:c r="F20" s="98" t="str">
        <x:v>10 min + 75 min</x:v>
      </x:c>
      <x:c r="G20" s="98" t="str">
        <x:v>The named production or export check passes with saved evidence and no unresolved security, ownership, storage, or lifecycle blocker.</x:v>
      </x:c>
      <x:c r="H20" s="99" t="str">
        <x:v>Yes</x:v>
      </x:c>
      <x:c r="I20" s="99" t="str">
        <x:v>Not started</x:v>
      </x:c>
      <x:c r="J20" s="98" t="str"/>
    </x:row>
    <x:row r="21" ht="168" customHeight="1">
      <x:c r="A21" s="95" t="n">
        <x:v>46303.5</x:v>
      </x:c>
      <x:c r="B21" s="96" t="str">
        <x:v>Weekday</x:v>
      </x:c>
      <x:c r="C21" s="101" t="str">
        <x:v>Cloud &amp; security</x:v>
      </x:c>
      <x:c r="D21" s="98" t="str">
        <x:v>Today is 2026-10-08. Work on YOW in /Users/bishop/Desktop/Claude/yow. Read AGENTS.md and docs/ROADMAP.md first. I am a complete beginner, so own all code changes, terminal work, automated tests, documentation, evidence collection, and safe troubleshooting yourself.
MORNING TECHNICAL ASSIGNMENT
Run complete ZIP/DOCX/PDF/World Bible ownership and privacy checks, including expiry access and readable output inspection.
EVENING OWNER ACTION TO PREPARE
Open the generated files and confirm the expected content is present and private data is absent where promised.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1" s="98" t="str">
        <x:v>1. Morning (10 minutes): open Codex and paste the entire AI prompt from the previous column. Then leave the technical work with AI.
2. Evening: open Codex's result and follow its owner instructions one step at a time.
3. Your action: Open the generated files and confirm the expected content is present and private data is absent where promised.
4. Safety: Back up first. Never paste credentials, API keys, recovery codes, or secret values into chat.
5. Stop when 10 min + 90 min is used. Mark In progress or Blocked with the last successful step; never borrow time from tomorrow.
6. Mark Done only when the expected result and evidence are both present.</x:v>
      </x:c>
      <x:c r="F21" s="98" t="str">
        <x:v>10 min + 90 min</x:v>
      </x:c>
      <x:c r="G21" s="98" t="str">
        <x:v>The named production or export check passes with saved evidence and no unresolved security, ownership, storage, or lifecycle blocker.</x:v>
      </x:c>
      <x:c r="H21" s="99" t="str">
        <x:v>Yes</x:v>
      </x:c>
      <x:c r="I21" s="99" t="str">
        <x:v>Not started</x:v>
      </x:c>
      <x:c r="J21" s="98" t="str"/>
    </x:row>
    <x:row r="22" ht="168" customHeight="1">
      <x:c r="A22" s="95" t="n">
        <x:v>46304.5</x:v>
      </x:c>
      <x:c r="B22" s="96" t="str">
        <x:v>Weekday</x:v>
      </x:c>
      <x:c r="C22" s="101" t="str">
        <x:v>Cloud &amp; security</x:v>
      </x:c>
      <x:c r="D22" s="98" t="str">
        <x:v>Today is 2026-10-09. Work on YOW in /Users/bishop/Desktop/Claude/yow. Read AGENTS.md and docs/ROADMAP.md first. I am a complete beginner, so own all code changes, terminal work, automated tests, documentation, evidence collection, and safe troubleshooting yourself.
MORNING TECHNICAL ASSIGNMENT
Retrieve or document the missing production function definitions, close reproducible database-build gaps, and rerun database checks.
EVENING OWNER ACTION TO PREPARE
Provide guided production access only if needed; review the database continuity result.
TIME LIMIT
10 min + 60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2" s="98" t="str">
        <x:v>1. Morning (10 minutes): open Codex and paste the entire AI prompt from the previous column. Then leave the technical work with AI.
2. Evening: open Codex's result and follow its owner instructions one step at a time.
3. Your action: Provide guided production access only if needed; review the database continuity result.
4. Safety: Back up first. Never paste credentials, API keys, recovery codes, or secret values into chat.
5. Stop when 10 min + 60 min is used. Mark In progress or Blocked with the last successful step; never borrow time from tomorrow.
6. Mark Done only when the expected result and evidence are both present.</x:v>
      </x:c>
      <x:c r="F22" s="98" t="str">
        <x:v>10 min + 60 min</x:v>
      </x:c>
      <x:c r="G22" s="98" t="str">
        <x:v>The named production or export check passes with saved evidence and no unresolved security, ownership, storage, or lifecycle blocker.</x:v>
      </x:c>
      <x:c r="H22" s="99" t="str">
        <x:v>Yes</x:v>
      </x:c>
      <x:c r="I22" s="99" t="str">
        <x:v>Not started</x:v>
      </x:c>
      <x:c r="J22" s="98" t="str"/>
    </x:row>
    <x:row r="23" ht="168" customHeight="1">
      <x:c r="A23" s="95" t="n">
        <x:v>46305.5</x:v>
      </x:c>
      <x:c r="B23" s="100" t="str">
        <x:v>Weekend</x:v>
      </x:c>
      <x:c r="C23" s="101" t="str">
        <x:v>Cloud &amp; security</x:v>
      </x:c>
      <x:c r="D23" s="98" t="str">
        <x:v>Today is 2026-10-10. Work on YOW in /Users/bishop/Desktop/Claude/yow. Read AGENTS.md and docs/ROADMAP.md first. I am a complete beginner, so own all code changes, terminal work, automated tests, documentation, evidence collection, and safe troubleshooting yourself.
MORNING TECHNICAL ASSIGNMENT
Run the entire data-safety/auth/export matrix and fix failures in priority order.
EVENING OWNER ACTION TO PREPARE
Perform the remaining real-account checks in two focused blocks; stop at four hours.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3"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Perform the remaining real-account checks in two focused blocks; stop at four hours.
4. Safety: Back up first. Never paste credentials, API keys, recovery codes, or secret values into chat.
5. Stop when 15 min + up to 3 h 45 min is used. Mark In progress or Blocked with the last successful step; never borrow time from tomorrow.
6. Mark Done only when the expected result and evidence are both present.</x:v>
      </x:c>
      <x:c r="F23" s="98" t="str">
        <x:v>15 min + up to 3 h 45 min</x:v>
      </x:c>
      <x:c r="G23" s="98" t="str">
        <x:v>The named production or export check passes with saved evidence and no unresolved security, ownership, storage, or lifecycle blocker.</x:v>
      </x:c>
      <x:c r="H23" s="99" t="str">
        <x:v>Yes</x:v>
      </x:c>
      <x:c r="I23" s="99" t="str">
        <x:v>Not started</x:v>
      </x:c>
      <x:c r="J23" s="98" t="str"/>
    </x:row>
    <x:row r="24" ht="168" customHeight="1">
      <x:c r="A24" s="95" t="n">
        <x:v>46306.5</x:v>
      </x:c>
      <x:c r="B24" s="100" t="str">
        <x:v>Weekend</x:v>
      </x:c>
      <x:c r="C24" s="101" t="str">
        <x:v>Cloud &amp; security</x:v>
      </x:c>
      <x:c r="D24" s="98" t="str">
        <x:v>Today is 2026-10-11. Work on YOW in /Users/bishop/Desktop/Claude/yow. Read AGENTS.md and docs/ROADMAP.md first. I am a complete beginner, so own all code changes, terminal work, automated tests, documentation, evidence collection, and safe troubleshooting yourself.
MORNING TECHNICAL ASSIGNMENT
Use the day as the hard-gate repair buffer, rerun the whole matrix, and produce a signed-off evidence summary.
EVENING OWNER ACTION TO PREPARE
Review the summary. Mark the gate Done only if no data-loss/auth/export blocker remains.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production or export check passes with saved evidence and no unresolved security, ownership, storage, or lifecycle blocker.
At the end, state Done, In progress, or Blocked; list the evidence; and name the single next action if unfinished.</x:v>
      </x:c>
      <x:c r="E24"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Review the summary. Mark the gate Done only if no data-loss/auth/export blocker remains.
4. Safety: Back up first. Never paste credentials, API keys, recovery codes, or secret values into chat.
5. Stop when 15 min + up to 3 h 45 min is used. Mark In progress or Blocked with the last successful step; never borrow time from tomorrow.
6. Mark Done only when the expected result and evidence are both present.</x:v>
      </x:c>
      <x:c r="F24" s="98" t="str">
        <x:v>15 min + up to 3 h 45 min</x:v>
      </x:c>
      <x:c r="G24" s="98" t="str">
        <x:v>The named production or export check passes with saved evidence and no unresolved security, ownership, storage, or lifecycle blocker.</x:v>
      </x:c>
      <x:c r="H24" s="99" t="str">
        <x:v>Yes</x:v>
      </x:c>
      <x:c r="I24" s="99" t="str">
        <x:v>Not started</x:v>
      </x:c>
      <x:c r="J24" s="98" t="str"/>
    </x:row>
    <x:row r="25" ht="168" customHeight="1">
      <x:c r="A25" s="95" t="n">
        <x:v>46307.5</x:v>
      </x:c>
      <x:c r="B25" s="96" t="str">
        <x:v>Weekday</x:v>
      </x:c>
      <x:c r="C25" s="100" t="str">
        <x:v>Desktop</x:v>
      </x:c>
      <x:c r="D25" s="98" t="str">
        <x:v>Today is 2026-10-12. Work on YOW in /Users/bishop/Desktop/Claude/yow. Read AGENTS.md and docs/ROADMAP.md first. I am a complete beginner, so own all code changes, terminal work, automated tests, documentation, evidence collection, and safe troubleshooting yourself.
MORNING TECHNICAL ASSIGNMENT
Implement/finish the full signed-in Tauri project workspace and run desktop unit/Rust/build checks.
EVENING OWNER ACTION TO PREPARE
Open the Mac test build and verify login, library, project navigation, and writing.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5" s="98" t="str">
        <x:v>1. Morning (10 minutes): open Codex and paste the entire AI prompt from the previous column. Then leave the technical work with AI.
2. Evening: open Codex's result and follow its owner instructions one step at a time.
3. Your action: Open the Mac test build and verify login, library, project navigation, and writing.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x:v>
      </x:c>
      <x:c r="F25" s="98" t="str">
        <x:v>10 min + 100 min</x:v>
      </x:c>
      <x:c r="G25" s="98" t="str">
        <x:v>The named packaged-app journey passes on the required real machine, and the evidence is saved.</x:v>
      </x:c>
      <x:c r="H25" s="99" t="str">
        <x:v>Yes</x:v>
      </x:c>
      <x:c r="I25" s="99" t="str">
        <x:v>Not started</x:v>
      </x:c>
      <x:c r="J25" s="98" t="str"/>
    </x:row>
    <x:row r="26" ht="168" customHeight="1">
      <x:c r="A26" s="95" t="n">
        <x:v>46308.5</x:v>
      </x:c>
      <x:c r="B26" s="96" t="str">
        <x:v>Weekday</x:v>
      </x:c>
      <x:c r="C26" s="100" t="str">
        <x:v>Desktop</x:v>
      </x:c>
      <x:c r="D26" s="98" t="str">
        <x:v>Today is 2026-10-13. Work on YOW in /Users/bishop/Desktop/Claude/yow. Read AGENTS.md and docs/ROADMAP.md first. I am a complete beginner, so own all code changes, terminal work, automated tests, documentation, evidence collection, and safe troubleshooting yourself.
MORNING TECHNICAL ASSIGNMENT
Stress the desktop vault: write-behind durability, quit/force-quit, snapshot, restore, relocation, integrity, and disk-error handling.
EVENING OWNER ACTION TO PREPARE
Run the guided vault persistence and restore test with an isolated test vault.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6" s="98" t="str">
        <x:v>1. Morning (10 minutes): open Codex and paste the entire AI prompt from the previous column. Then leave the technical work with AI.
2. Evening: open Codex's result and follow its owner instructions one step at a time.
3. Your action: Run the guided vault persistence and restore test with an isolated test vault.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x:v>
      </x:c>
      <x:c r="F26" s="98" t="str">
        <x:v>10 min + 100 min</x:v>
      </x:c>
      <x:c r="G26" s="98" t="str">
        <x:v>The named packaged-app journey passes on the required real machine, and the evidence is saved.</x:v>
      </x:c>
      <x:c r="H26" s="99" t="str">
        <x:v>Yes</x:v>
      </x:c>
      <x:c r="I26" s="99" t="str">
        <x:v>Not started</x:v>
      </x:c>
      <x:c r="J26" s="98" t="str"/>
    </x:row>
    <x:row r="27" ht="168" customHeight="1">
      <x:c r="A27" s="95" t="n">
        <x:v>46309.5</x:v>
      </x:c>
      <x:c r="B27" s="96" t="str">
        <x:v>Weekday</x:v>
      </x:c>
      <x:c r="C27" s="100" t="str">
        <x:v>Desktop</x:v>
      </x:c>
      <x:c r="D27" s="98" t="str">
        <x:v>Today is 2026-10-14. Work on YOW in /Users/bishop/Desktop/Claude/yow. Read AGENTS.md and docs/ROADMAP.md first. I am a complete beginner, so own all code changes, terminal work, automated tests, documentation, evidence collection, and safe troubleshooting yourself.
MORNING TECHNICAL ASSIGNMENT
Verify and repair native ZIP/DOCX/PDF/PNG save dialogs and file contents in packaged desktop builds.
EVENING OWNER ACTION TO PREPARE
Save and open each format from the packaged Mac app.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7" s="98" t="str">
        <x:v>1. Morning (10 minutes): open Codex and paste the entire AI prompt from the previous column. Then leave the technical work with AI.
2. Evening: open Codex's result and follow its owner instructions one step at a time.
3. Your action: Save and open each format from the packaged Mac app.
4. Safety: Use a test build and isolated test vault, never the only copy of real writing.
5. Stop when 10 min + 90 min is used. Mark In progress or Blocked with the last successful step; never borrow time from tomorrow.
6. Mark Done only when the expected result and evidence are both present.</x:v>
      </x:c>
      <x:c r="F27" s="98" t="str">
        <x:v>10 min + 90 min</x:v>
      </x:c>
      <x:c r="G27" s="98" t="str">
        <x:v>The named packaged-app journey passes on the required real machine, and the evidence is saved.</x:v>
      </x:c>
      <x:c r="H27" s="99" t="str">
        <x:v>Yes</x:v>
      </x:c>
      <x:c r="I27" s="99" t="str">
        <x:v>Not started</x:v>
      </x:c>
      <x:c r="J27" s="98" t="str"/>
    </x:row>
    <x:row r="28" ht="168" customHeight="1">
      <x:c r="A28" s="95" t="n">
        <x:v>46310.5</x:v>
      </x:c>
      <x:c r="B28" s="96" t="str">
        <x:v>Weekday</x:v>
      </x:c>
      <x:c r="C28" s="100" t="str">
        <x:v>Desktop</x:v>
      </x:c>
      <x:c r="D28" s="98" t="str">
        <x:v>Today is 2026-10-15. Work on YOW in /Users/bishop/Desktop/Claude/yow. Read AGENTS.md and docs/ROADMAP.md first. I am a complete beginner, so own all code changes, terminal work, automated tests, documentation, evidence collection, and safe troubleshooting yourself.
MORNING TECHNICAL ASSIGNMENT
Finish Local Mode/lapse/renewal merge logic, cold-start retry, conflict surfacing, and no-cloud-write verification.
EVENING OWNER ACTION TO PREPARE
Run the guided lapse → web edit → renewal → desktop merge scenario.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8" s="98" t="str">
        <x:v>1. Morning (10 minutes): open Codex and paste the entire AI prompt from the previous column. Then leave the technical work with AI.
2. Evening: open Codex's result and follow its owner instructions one step at a time.
3. Your action: Run the guided lapse → web edit → renewal → desktop merge scenario.
4. Safety: Use a test build and isolated test vault, never the only copy of real writing.
5. Stop when 10 min + 100 min is used. Mark In progress or Blocked with the last successful step; never borrow time from tomorrow.
6. Mark Done only when the expected result and evidence are both present.</x:v>
      </x:c>
      <x:c r="F28" s="98" t="str">
        <x:v>10 min + 100 min</x:v>
      </x:c>
      <x:c r="G28" s="98" t="str">
        <x:v>The named packaged-app journey passes on the required real machine, and the evidence is saved.</x:v>
      </x:c>
      <x:c r="H28" s="99" t="str">
        <x:v>Yes</x:v>
      </x:c>
      <x:c r="I28" s="99" t="str">
        <x:v>Not started</x:v>
      </x:c>
      <x:c r="J28" s="98" t="str"/>
    </x:row>
    <x:row r="29" ht="168" customHeight="1">
      <x:c r="A29" s="95" t="n">
        <x:v>46311.5</x:v>
      </x:c>
      <x:c r="B29" s="96" t="str">
        <x:v>Weekday</x:v>
      </x:c>
      <x:c r="C29" s="100" t="str">
        <x:v>Desktop</x:v>
      </x:c>
      <x:c r="D29" s="98" t="str">
        <x:v>Today is 2026-10-16. Work on YOW in /Users/bishop/Desktop/Claude/yow. Read AGENTS.md and docs/ROADMAP.md first. I am a complete beginner, so own all code changes, terminal work, automated tests, documentation, evidence collection, and safe troubleshooting yourself.
MORNING TECHNICAL ASSIGNMENT
Finalise updater manifests, download entitlement gating, installer URLs, hashes, provenance, and unsigned-app instructions.
EVENING OWNER ACTION TO PREPARE
Review the download page and Mac instructions as a customer.
TIME LIMIT
10 min + 75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29" s="98" t="str">
        <x:v>1. Morning (10 minutes): open Codex and paste the entire AI prompt from the previous column. Then leave the technical work with AI.
2. Evening: open Codex's result and follow its owner instructions one step at a time.
3. Your action: Review the download page and Mac instructions as a customer.
4. Safety: Use a test build and isolated test vault, never the only copy of real writing.
5. Stop when 10 min + 75 min is used. Mark In progress or Blocked with the last successful step; never borrow time from tomorrow.
6. Mark Done only when the expected result and evidence are both present.</x:v>
      </x:c>
      <x:c r="F29" s="98" t="str">
        <x:v>10 min + 75 min</x:v>
      </x:c>
      <x:c r="G29" s="98" t="str">
        <x:v>The named packaged-app journey passes on the required real machine, and the evidence is saved.</x:v>
      </x:c>
      <x:c r="H29" s="99" t="str">
        <x:v>Yes</x:v>
      </x:c>
      <x:c r="I29" s="99" t="str">
        <x:v>Not started</x:v>
      </x:c>
      <x:c r="J29" s="98" t="str"/>
    </x:row>
    <x:row r="30" ht="168" customHeight="1">
      <x:c r="A30" s="95" t="n">
        <x:v>46312.5</x:v>
      </x:c>
      <x:c r="B30" s="100" t="str">
        <x:v>Weekend</x:v>
      </x:c>
      <x:c r="C30" s="100" t="str">
        <x:v>Desktop</x:v>
      </x:c>
      <x:c r="D30" s="98" t="str">
        <x:v>Today is 2026-10-17. Work on YOW in /Users/bishop/Desktop/Claude/yow. Read AGENTS.md and docs/ROADMAP.md first. I am a complete beginner, so own all code changes, terminal work, automated tests, documentation, evidence collection, and safe troubleshooting yourself.
MORNING TECHNICAL ASSIGNMENT
Produce and inspect the final Mac candidate; drive clean-machine install, workspace, export, restore, updater, and uninstall acceptance.
EVENING OWNER ACTION TO PREPARE
Complete the clean/test Mac checklist in two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30"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the clean/test Mac checklist in two blocks.
4. Safety: Use a test build and isolated test vault, never the only copy of real writing.
5. Stop when 15 min + up to 3 h 45 min is used. Mark In progress or Blocked with the last successful step; never borrow time from tomorrow.
6. Mark Done only when the expected result and evidence are both present.</x:v>
      </x:c>
      <x:c r="F30" s="98" t="str">
        <x:v>15 min + up to 3 h 45 min</x:v>
      </x:c>
      <x:c r="G30" s="98" t="str">
        <x:v>The named packaged-app journey passes on the required real machine, and the evidence is saved.</x:v>
      </x:c>
      <x:c r="H30" s="99" t="str">
        <x:v>Yes</x:v>
      </x:c>
      <x:c r="I30" s="99" t="str">
        <x:v>Not started</x:v>
      </x:c>
      <x:c r="J30" s="98" t="str"/>
    </x:row>
    <x:row r="31" ht="168" customHeight="1">
      <x:c r="A31" s="95" t="n">
        <x:v>46313.5</x:v>
      </x:c>
      <x:c r="B31" s="100" t="str">
        <x:v>Weekend</x:v>
      </x:c>
      <x:c r="C31" s="100" t="str">
        <x:v>Desktop</x:v>
      </x:c>
      <x:c r="D31" s="98" t="str">
        <x:v>Today is 2026-10-18. Work on YOW in /Users/bishop/Desktop/Claude/yow. Read AGENTS.md and docs/ROADMAP.md first. I am a complete beginner, so own all code changes, terminal work, automated tests, documentation, evidence collection, and safe troubleshooting yourself.
MORNING TECHNICAL ASSIGNMENT
Produce the Windows candidate in CI and drive Windows clean-machine/WebView2/install/export/updater/uninstall acceptance; close the Desktop Gate.
EVENING OWNER ACTION TO PREPARE
Complete or coordinate the Windows checklist, then review the combined desktop evidence.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packaged-app journey passes on the required real machine, and the evidence is saved.
At the end, state Done, In progress, or Blocked; list the evidence; and name the single next action if unfinished.</x:v>
      </x:c>
      <x:c r="E31"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or coordinate the Windows checklist, then review the combined desktop evidence.
4. Safety: Use a test build and isolated test vault, never the only copy of real writing.
5. Stop when 15 min + up to 3 h 45 min is used. Mark In progress or Blocked with the last successful step; never borrow time from tomorrow.
6. Mark Done only when the expected result and evidence are both present.</x:v>
      </x:c>
      <x:c r="F31" s="98" t="str">
        <x:v>15 min + up to 3 h 45 min</x:v>
      </x:c>
      <x:c r="G31" s="98" t="str">
        <x:v>The named packaged-app journey passes on the required real machine, and the evidence is saved.</x:v>
      </x:c>
      <x:c r="H31" s="99" t="str">
        <x:v>Yes</x:v>
      </x:c>
      <x:c r="I31" s="99" t="str">
        <x:v>Not started</x:v>
      </x:c>
      <x:c r="J31" s="98" t="str"/>
    </x:row>
    <x:row r="32" ht="168" customHeight="1">
      <x:c r="A32" s="95" t="n">
        <x:v>46314.5</x:v>
      </x:c>
      <x:c r="B32" s="96" t="str">
        <x:v>Weekday</x:v>
      </x:c>
      <x:c r="C32" s="102" t="str">
        <x:v>Product acceptance</x:v>
      </x:c>
      <x:c r="D32" s="98" t="str">
        <x:v>Today is 2026-10-19. Work on YOW in /Users/bishop/Desktop/Claude/yow. Read AGENTS.md and docs/ROADMAP.md first. I am a complete beginner, so own all code changes, terminal work, automated tests, documentation, evidence collection, and safe troubleshooting yourself.
MORNING TECHNICAL ASSIGNMENT
Run and repair complete Novella and Short Story workflow, defaults, persistence, and export acceptance.
EVENING OWNER ACTION TO PREPARE
Perform the two guided create → write → export journeys.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2" s="98" t="str">
        <x:v>1. Morning (10 minutes): open Codex and paste the entire AI prompt from the previous column. Then leave the technical work with AI.
2. Evening: open Codex's result and follow its owner instructions one step at a time.
3. Your action: Perform the two guided create → write → export journeys.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2" s="98" t="str">
        <x:v>10 min + 100 min</x:v>
      </x:c>
      <x:c r="G32" s="98" t="str">
        <x:v>The named customer journey works as advertised, and any reproducible launch-blocking failure is fixed and retested.</x:v>
      </x:c>
      <x:c r="H32" s="99" t="str">
        <x:v>Yes</x:v>
      </x:c>
      <x:c r="I32" s="99" t="str">
        <x:v>Not started</x:v>
      </x:c>
      <x:c r="J32" s="98" t="str"/>
    </x:row>
    <x:row r="33" ht="168" customHeight="1">
      <x:c r="A33" s="95" t="n">
        <x:v>46315.5</x:v>
      </x:c>
      <x:c r="B33" s="96" t="str">
        <x:v>Weekday</x:v>
      </x:c>
      <x:c r="C33" s="102" t="str">
        <x:v>Product acceptance</x:v>
      </x:c>
      <x:c r="D33" s="98" t="str">
        <x:v>Today is 2026-10-20. Work on YOW in /Users/bishop/Desktop/Claude/yow. Read AGENTS.md and docs/ROADMAP.md first. I am a complete beginner, so own all code changes, terminal work, automated tests, documentation, evidence collection, and safe troubleshooting yourself.
MORNING TECHNICAL ASSIGNMENT
Run and repair complete D&amp;D and TTRPG prep/recap, Character Builder, map/default, AI-context, and export acceptance.
EVENING OWNER ACTION TO PREPARE
Perform the two guided campaign journeys using disposable campaigns.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3" s="98" t="str">
        <x:v>1. Morning (10 minutes): open Codex and paste the entire AI prompt from the previous column. Then leave the technical work with AI.
2. Evening: open Codex's result and follow its owner instructions one step at a time.
3. Your action: Perform the two guided campaign journeys using disposable campaigns.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3" s="98" t="str">
        <x:v>10 min + 100 min</x:v>
      </x:c>
      <x:c r="G33" s="98" t="str">
        <x:v>The named customer journey works as advertised, and any reproducible launch-blocking failure is fixed and retested.</x:v>
      </x:c>
      <x:c r="H33" s="99" t="str">
        <x:v>Yes</x:v>
      </x:c>
      <x:c r="I33" s="99" t="str">
        <x:v>Not started</x:v>
      </x:c>
      <x:c r="J33" s="98" t="str"/>
    </x:row>
    <x:row r="34" ht="168" customHeight="1">
      <x:c r="A34" s="95" t="n">
        <x:v>46316.5</x:v>
      </x:c>
      <x:c r="B34" s="96" t="str">
        <x:v>Weekday</x:v>
      </x:c>
      <x:c r="C34" s="102" t="str">
        <x:v>Product acceptance</x:v>
      </x:c>
      <x:c r="D34" s="98" t="str">
        <x:v>Today is 2026-10-21. Work on YOW in /Users/bishop/Desktop/Claude/yow. Read AGENTS.md and docs/ROADMAP.md first. I am a complete beginner, so own all code changes, terminal work, automated tests, documentation, evidence collection, and safe troubleshooting yourself.
MORNING TECHNICAL ASSIGNMENT
Run and repair Novel and Comic live-cloud, large-project, and complete export acceptance.
EVENING OWNER ACTION TO PREPARE
Perform the guided Novel and Comic journeys.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4" s="98" t="str">
        <x:v>1. Morning (10 minutes): open Codex and paste the entire AI prompt from the previous column. Then leave the technical work with AI.
2. Evening: open Codex's result and follow its owner instructions one step at a time.
3. Your action: Perform the guided Novel and Comic journeys.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4" s="98" t="str">
        <x:v>10 min + 100 min</x:v>
      </x:c>
      <x:c r="G34" s="98" t="str">
        <x:v>The named customer journey works as advertised, and any reproducible launch-blocking failure is fixed and retested.</x:v>
      </x:c>
      <x:c r="H34" s="99" t="str">
        <x:v>Yes</x:v>
      </x:c>
      <x:c r="I34" s="99" t="str">
        <x:v>Not started</x:v>
      </x:c>
      <x:c r="J34" s="98" t="str"/>
    </x:row>
    <x:row r="35" ht="168" customHeight="1">
      <x:c r="A35" s="95" t="n">
        <x:v>46317.5</x:v>
      </x:c>
      <x:c r="B35" s="96" t="str">
        <x:v>Weekday</x:v>
      </x:c>
      <x:c r="C35" s="102" t="str">
        <x:v>Product acceptance</x:v>
      </x:c>
      <x:c r="D35" s="98" t="str">
        <x:v>Today is 2026-10-22. Work on YOW in /Users/bishop/Desktop/Claude/yow. Read AGENTS.md and docs/ROADMAP.md first. I am a complete beginner, so own all code changes, terminal work, automated tests, documentation, evidence collection, and safe troubleshooting yourself.
MORNING TECHNICAL ASSIGNMENT
Run the full Map Builder owner checklist and repair interaction, layer, persistence, responsive, and export defects.
EVENING OWNER ACTION TO PREPARE
Complete the guided map workflow and inspect its exports.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5" s="98" t="str">
        <x:v>1. Morning (10 minutes): open Codex and paste the entire AI prompt from the previous column. Then leave the technical work with AI.
2. Evening: open Codex's result and follow its owner instructions one step at a time.
3. Your action: Complete the guided map workflow and inspect its exports.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5" s="98" t="str">
        <x:v>10 min + 100 min</x:v>
      </x:c>
      <x:c r="G35" s="98" t="str">
        <x:v>The named customer journey works as advertised, and any reproducible launch-blocking failure is fixed and retested.</x:v>
      </x:c>
      <x:c r="H35" s="99" t="str">
        <x:v>Yes</x:v>
      </x:c>
      <x:c r="I35" s="99" t="str">
        <x:v>Not started</x:v>
      </x:c>
      <x:c r="J35" s="98" t="str"/>
    </x:row>
    <x:row r="36" ht="168" customHeight="1">
      <x:c r="A36" s="95" t="n">
        <x:v>46318.5</x:v>
      </x:c>
      <x:c r="B36" s="96" t="str">
        <x:v>Weekday</x:v>
      </x:c>
      <x:c r="C36" s="102" t="str">
        <x:v>Product acceptance</x:v>
      </x:c>
      <x:c r="D36" s="98" t="str">
        <x:v>Today is 2026-10-23. Work on YOW in /Users/bishop/Desktop/Claude/yow. Read AGENTS.md and docs/ROADMAP.md first. I am a complete beginner, so own all code changes, terminal work, automated tests, documentation, evidence collection, and safe troubleshooting yourself.
MORNING TECHNICAL ASSIGNMENT
Consolidate remaining Characters, Locations, Lore, Timeline/History, Family/Factions, Series, Schedule, Focused Writing, and AI Import checks.
EVENING OWNER ACTION TO PREPARE
Work through the short owner verification packet; flag only reproducible failures.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6" s="98" t="str">
        <x:v>1. Morning (10 minutes): open Codex and paste the entire AI prompt from the previous column. Then leave the technical work with AI.
2. Evening: open Codex's result and follow its owner instructions one step at a time.
3. Your action: Work through the short owner verification packet; flag only reproducible failures.
4. Safety: Use disposable data and stop instead of guessing if the screen differs from the instructions.
5. Stop when 10 min + 100 min is used. Mark In progress or Blocked with the last successful step; never borrow time from tomorrow.
6. Mark Done only when the expected result and evidence are both present.</x:v>
      </x:c>
      <x:c r="F36" s="98" t="str">
        <x:v>10 min + 100 min</x:v>
      </x:c>
      <x:c r="G36" s="98" t="str">
        <x:v>The named customer journey works as advertised, and any reproducible launch-blocking failure is fixed and retested.</x:v>
      </x:c>
      <x:c r="H36" s="99" t="str">
        <x:v>Yes</x:v>
      </x:c>
      <x:c r="I36" s="99" t="str">
        <x:v>Not started</x:v>
      </x:c>
      <x:c r="J36" s="98" t="str"/>
    </x:row>
    <x:row r="37" ht="168" customHeight="1">
      <x:c r="A37" s="95" t="n">
        <x:v>46319.5</x:v>
      </x:c>
      <x:c r="B37" s="100" t="str">
        <x:v>Weekend</x:v>
      </x:c>
      <x:c r="C37" s="102" t="str">
        <x:v>Product acceptance</x:v>
      </x:c>
      <x:c r="D37" s="98" t="str">
        <x:v>Today is 2026-10-24. Work on YOW in /Users/bishop/Desktop/Claude/yow. Read AGENTS.md and docs/ROADMAP.md first. I am a complete beginner, so own all code changes, terminal work, automated tests, documentation, evidence collection, and safe troubleshooting yourself.
MORNING TECHNICAL ASSIGNMENT
Run realistic large-project performance plus 375/768/desktop, keyboard, focus, contrast, real-iPhone, and theme acceptance; fix blockers.
EVENING OWNER ACTION TO PREPARE
Complete device/accessibility tests in two focused blocks.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7"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device/accessibility tests in two focused blocks.
4. Safety: Use disposable data and stop instead of guessing if the screen differs from the instructions.
5. Stop when 15 min + up to 3 h 45 min is used. Mark In progress or Blocked with the last successful step; never borrow time from tomorrow.
6. Mark Done only when the expected result and evidence are both present.</x:v>
      </x:c>
      <x:c r="F37" s="98" t="str">
        <x:v>15 min + up to 3 h 45 min</x:v>
      </x:c>
      <x:c r="G37" s="98" t="str">
        <x:v>The named customer journey works as advertised, and any reproducible launch-blocking failure is fixed and retested.</x:v>
      </x:c>
      <x:c r="H37" s="99" t="str">
        <x:v>Yes</x:v>
      </x:c>
      <x:c r="I37" s="99" t="str">
        <x:v>Not started</x:v>
      </x:c>
      <x:c r="J37" s="98" t="str"/>
    </x:row>
    <x:row r="38" ht="168" customHeight="1">
      <x:c r="A38" s="95" t="n">
        <x:v>46320.5</x:v>
      </x:c>
      <x:c r="B38" s="100" t="str">
        <x:v>Weekend</x:v>
      </x:c>
      <x:c r="C38" s="102" t="str">
        <x:v>Product acceptance</x:v>
      </x:c>
      <x:c r="D38" s="98" t="str">
        <x:v>Today is 2026-10-25. Work on YOW in /Users/bishop/Desktop/Claude/yow. Read AGENTS.md and docs/ROADMAP.md first. I am a complete beginner, so own all code changes, terminal work, automated tests, documentation, evidence collection, and safe troubleshooting yourself.
MORNING TECHNICAL ASSIGNMENT
Test every advertised AI provider, context grounding, errors/retry, secret isolation, chat persistence/export, then rerun all six project-type exports.
EVENING OWNER ACTION TO PREPARE
Supply provider access without sharing secrets; complete the Product Gate review.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customer journey works as advertised, and any reproducible launch-blocking failure is fixed and retested.
At the end, state Done, In progress, or Blocked; list the evidence; and name the single next action if unfinished.</x:v>
      </x:c>
      <x:c r="E38"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Supply provider access without sharing secrets; complete the Product Gate review.
4. Safety: Use disposable data and stop instead of guessing if the screen differs from the instructions.
5. Stop when 15 min + up to 3 h 45 min is used. Mark In progress or Blocked with the last successful step; never borrow time from tomorrow.
6. Mark Done only when the expected result and evidence are both present.</x:v>
      </x:c>
      <x:c r="F38" s="98" t="str">
        <x:v>15 min + up to 3 h 45 min</x:v>
      </x:c>
      <x:c r="G38" s="98" t="str">
        <x:v>The named customer journey works as advertised, and any reproducible launch-blocking failure is fixed and retested.</x:v>
      </x:c>
      <x:c r="H38" s="99" t="str">
        <x:v>Yes</x:v>
      </x:c>
      <x:c r="I38" s="99" t="str">
        <x:v>Not started</x:v>
      </x:c>
      <x:c r="J38" s="98" t="str"/>
    </x:row>
    <x:row r="39" ht="168" customHeight="1">
      <x:c r="A39" s="95" t="n">
        <x:v>46321.5</x:v>
      </x:c>
      <x:c r="B39" s="96" t="str">
        <x:v>Weekday</x:v>
      </x:c>
      <x:c r="C39" s="103" t="str">
        <x:v>Payments &amp; release</x:v>
      </x:c>
      <x:c r="D39" s="98" t="str">
        <x:v>Today is 2026-10-26. Work on YOW in /Users/bishop/Desktop/Claude/yow. Read AGENTS.md and docs/ROADMAP.md first. I am a complete beginner, so own all code changes, terminal work, automated tests, documentation, evidence collection, and safe troubleshooting yourself.
MORNING TECHNICAL ASSIGNMENT
Reconcile Pricing, FAQ, Terms, Privacy, cancellation, storage, Local Mode, expiry, Founder, AI, export, SEO, and marketing promises.
EVENING OWNER ACTION TO PREPARE
Read the plain-English change packet and approve or correct the final customer promises.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39" s="98" t="str">
        <x:v>1. Morning (10 minutes): open Codex and paste the entire AI prompt from the previous column. Then leave the technical work with AI.
2. Evening: open Codex's result and follow its owner instructions one step at a time.
3. Your action: Read the plain-English change packet and approve or correct the final customer promises.
4. Safety: Stay in Stripe test mode; publish, email, or enable nothing before its dated instruction.
5. Stop when 10 min + 100 min is used. Mark In progress or Blocked with the last successful step; never borrow time from tomorrow.
6. Mark Done only when the expected result and evidence are both present.</x:v>
      </x:c>
      <x:c r="F39" s="98" t="str">
        <x:v>10 min + 100 min</x:v>
      </x:c>
      <x:c r="G39" s="98" t="str">
        <x:v>The named legal, payment, Beta, or release check passes, evidence is saved, and no promise conflicts with behaviour.</x:v>
      </x:c>
      <x:c r="H39" s="99" t="str">
        <x:v>Yes</x:v>
      </x:c>
      <x:c r="I39" s="99" t="str">
        <x:v>Not started</x:v>
      </x:c>
      <x:c r="J39" s="98" t="str"/>
    </x:row>
    <x:row r="40" ht="168" customHeight="1">
      <x:c r="A40" s="95" t="n">
        <x:v>46322.5</x:v>
      </x:c>
      <x:c r="B40" s="96" t="str">
        <x:v>Weekday</x:v>
      </x:c>
      <x:c r="C40" s="103" t="str">
        <x:v>Payments &amp; release</x:v>
      </x:c>
      <x:c r="D40" s="98" t="str">
        <x:v>Today is 2026-10-27. Work on YOW in /Users/bishop/Desktop/Claude/yow. Read AGENTS.md and docs/ROADMAP.md first. I am a complete beginner, so own all code changes, terminal work, automated tests, documentation, evidence collection, and safe troubleshooting yourself.
MORNING TECHNICAL ASSIGNMENT
Audit Stripe configuration, webhook idempotency, entitlement fulfilment, refunds/disputes, Founder allocation, and the test-mode runbook.
EVENING OWNER ACTION TO PREPARE
Open Stripe/Supabase only when guided and confirm the displayed test configuration.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0" s="98" t="str">
        <x:v>1. Morning (10 minutes): open Codex and paste the entire AI prompt from the previous column. Then leave the technical work with AI.
2. Evening: open Codex's result and follow its owner instructions one step at a time.
3. Your action: Open Stripe/Supabase only when guided and confirm the displayed test configuration.
4. Safety: Stay in Stripe test mode; publish, email, or enable nothing before its dated instruction.
5. Stop when 10 min + 90 min is used. Mark In progress or Blocked with the last successful step; never borrow time from tomorrow.
6. Mark Done only when the expected result and evidence are both present.</x:v>
      </x:c>
      <x:c r="F40" s="98" t="str">
        <x:v>10 min + 90 min</x:v>
      </x:c>
      <x:c r="G40" s="98" t="str">
        <x:v>The named legal, payment, Beta, or release check passes, evidence is saved, and no promise conflicts with behaviour.</x:v>
      </x:c>
      <x:c r="H40" s="99" t="str">
        <x:v>Yes</x:v>
      </x:c>
      <x:c r="I40" s="99" t="str">
        <x:v>Not started</x:v>
      </x:c>
      <x:c r="J40" s="98" t="str"/>
    </x:row>
    <x:row r="41" ht="168" customHeight="1">
      <x:c r="A41" s="95" t="n">
        <x:v>46323.5</x:v>
      </x:c>
      <x:c r="B41" s="96" t="str">
        <x:v>Weekday</x:v>
      </x:c>
      <x:c r="C41" s="103" t="str">
        <x:v>Payments &amp; release</x:v>
      </x:c>
      <x:c r="D41" s="98" t="str">
        <x:v>Today is 2026-10-28. Work on YOW in /Users/bishop/Desktop/Claude/yow. Read AGENTS.md and docs/ROADMAP.md first. I am a complete beginner, so own all code changes, terminal work, automated tests, documentation, evidence collection, and safe troubleshooting yourself.
MORNING TECHNICAL ASSIGNMENT
Drive the full Stripe test-mode journey one step at a time: Monthly, Lifetime, Founder, renewal, cancel/failure, replay, refund, and dispute.
EVENING OWNER ACTION TO PREPARE
Complete guided test payments and verify app access after each event.
TIME LIMIT
10 min + 110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1" s="98" t="str">
        <x:v>1. Morning (10 minutes): open Codex and paste the entire AI prompt from the previous column. Then leave the technical work with AI.
2. Evening: open Codex's result and follow its owner instructions one step at a time.
3. Your action: Complete guided test payments and verify app access after each event.
4. Safety: Stay in Stripe test mode; publish, email, or enable nothing before its dated instruction.
5. Stop when 10 min + 110 min is used. Mark In progress or Blocked with the last successful step; never borrow time from tomorrow.
6. Mark Done only when the expected result and evidence are both present.</x:v>
      </x:c>
      <x:c r="F41" s="98" t="str">
        <x:v>10 min + 110 min</x:v>
      </x:c>
      <x:c r="G41" s="98" t="str">
        <x:v>The named legal, payment, Beta, or release check passes, evidence is saved, and no promise conflicts with behaviour.</x:v>
      </x:c>
      <x:c r="H41" s="99" t="str">
        <x:v>Yes</x:v>
      </x:c>
      <x:c r="I41" s="99" t="str">
        <x:v>Not started</x:v>
      </x:c>
      <x:c r="J41" s="98" t="str"/>
    </x:row>
    <x:row r="42" ht="168" customHeight="1">
      <x:c r="A42" s="95" t="n">
        <x:v>46324.5</x:v>
      </x:c>
      <x:c r="B42" s="96" t="str">
        <x:v>Weekday</x:v>
      </x:c>
      <x:c r="C42" s="103" t="str">
        <x:v>Payments &amp; release</x:v>
      </x:c>
      <x:c r="D42" s="98" t="str">
        <x:v>Today is 2026-10-29. Work on YOW in /Users/bishop/Desktop/Claude/yow. Read AGENTS.md and docs/ROADMAP.md first. I am a complete beginner, so own all code changes, terminal work, automated tests, documentation, evidence collection, and safe troubleshooting yourself.
MORNING TECHNICAL ASSIGNMENT
Prepare the reversible Beta-closure/migration operation, final website copy, screenshots, launch post, ads, support replies, and analytics checks without publishing.
EVENING OWNER ACTION TO PREPARE
Approve the prepared launch assets and Beta transition wording; publish nothing.
TIME LIMIT
10 min + 90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2" s="98" t="str">
        <x:v>1. Morning (10 minutes): open Codex and paste the entire AI prompt from the previous column. Then leave the technical work with AI.
2. Evening: open Codex's result and follow its owner instructions one step at a time.
3. Your action: Approve the prepared launch assets and Beta transition wording; publish nothing.
4. Safety: Stay in Stripe test mode; publish, email, or enable nothing before its dated instruction.
5. Stop when 10 min + 90 min is used. Mark In progress or Blocked with the last successful step; never borrow time from tomorrow.
6. Mark Done only when the expected result and evidence are both present.</x:v>
      </x:c>
      <x:c r="F42" s="98" t="str">
        <x:v>10 min + 90 min</x:v>
      </x:c>
      <x:c r="G42" s="98" t="str">
        <x:v>The named legal, payment, Beta, or release check passes, evidence is saved, and no promise conflicts with behaviour.</x:v>
      </x:c>
      <x:c r="H42" s="99" t="str">
        <x:v>Yes</x:v>
      </x:c>
      <x:c r="I42" s="99" t="str">
        <x:v>Not started</x:v>
      </x:c>
      <x:c r="J42" s="98" t="str"/>
    </x:row>
    <x:row r="43" ht="168" customHeight="1">
      <x:c r="A43" s="95" t="n">
        <x:v>46325.5</x:v>
      </x:c>
      <x:c r="B43" s="96" t="str">
        <x:v>Weekday</x:v>
      </x:c>
      <x:c r="C43" s="103" t="str">
        <x:v>Payments &amp; release</x:v>
      </x:c>
      <x:c r="D43" s="98" t="str">
        <x:v>Today is 2026-10-30. Work on YOW in /Users/bishop/Desktop/Claude/yow. Read AGENTS.md and docs/ROADMAP.md first. I am a complete beginner, so own all code changes, terminal work, automated tests, documentation, evidence collection, and safe troubleshooting yourself.
MORNING TECHNICAL ASSIGNMENT
Freeze Release Candidate 1; run full automated/browser/Rust/build/security/marketing checks and produce the final go/no-go packet.
EVENING OWNER ACTION TO PREPARE
Perform one 60-minute customer smoke test and make the formal go/no-go decision.
TIME LIMIT
10 min + 105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3" s="98" t="str">
        <x:v>1. Morning (10 minutes): open Codex and paste the entire AI prompt from the previous column. Then leave the technical work with AI.
2. Evening: open Codex's result and follow its owner instructions one step at a time.
3. Your action: Perform one 60-minute customer smoke test and make the formal go/no-go decision.
4. Safety: Stay in Stripe test mode; publish, email, or enable nothing before its dated instruction.
5. Stop when 10 min + 105 min is used. Mark In progress or Blocked with the last successful step; never borrow time from tomorrow.
6. Mark Done only when the expected result and evidence are both present.</x:v>
      </x:c>
      <x:c r="F43" s="98" t="str">
        <x:v>10 min + 105 min</x:v>
      </x:c>
      <x:c r="G43" s="98" t="str">
        <x:v>The named legal, payment, Beta, or release check passes, evidence is saved, and no promise conflicts with behaviour.</x:v>
      </x:c>
      <x:c r="H43" s="99" t="str">
        <x:v>Yes</x:v>
      </x:c>
      <x:c r="I43" s="99" t="str">
        <x:v>Not started</x:v>
      </x:c>
      <x:c r="J43" s="98" t="str"/>
    </x:row>
    <x:row r="44" ht="168" customHeight="1">
      <x:c r="A44" s="95" t="n">
        <x:v>46326.5</x:v>
      </x:c>
      <x:c r="B44" s="100" t="str">
        <x:v>Weekend</x:v>
      </x:c>
      <x:c r="C44" s="103" t="str">
        <x:v>Payments &amp; release</x:v>
      </x:c>
      <x:c r="D44" s="98" t="str">
        <x:v>Today is 2026-10-31. Work on YOW in /Users/bishop/Desktop/Claude/yow. Read AGENTS.md and docs/ROADMAP.md first. I am a complete beginner, so own all code changes, terminal work, automated tests, documentation, evidence collection, and safe troubleshooting yourself.
MORNING TECHNICAL ASSIGNMENT
Repair only launch blockers, rerun the full gate, take backups, verify rollback/checkout-disable/support procedures, and rehearse the exact production release.
EVENING OWNER ACTION TO PREPARE
Complete the full launch rehearsal in two blocks; checkout remains off.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The named legal, payment, Beta, or release check passes, evidence is saved, and no promise conflicts with behaviour.
At the end, state Done, In progress, or Blocked; list the evidence; and name the single next action if unfinished.</x:v>
      </x:c>
      <x:c r="E44"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the full launch rehearsal in two blocks; checkout remains off.
4. Safety: Stay in Stripe test mode; publish, email, or enable nothing before its dated instruction.
5. Stop when 15 min + up to 3 h 45 min is used. Mark In progress or Blocked with the last successful step; never borrow time from tomorrow.
6. Mark Done only when the expected result and evidence are both present.</x:v>
      </x:c>
      <x:c r="F44" s="98" t="str">
        <x:v>15 min + up to 3 h 45 min</x:v>
      </x:c>
      <x:c r="G44" s="98" t="str">
        <x:v>The named legal, payment, Beta, or release check passes, evidence is saved, and no promise conflicts with behaviour.</x:v>
      </x:c>
      <x:c r="H44" s="99" t="str">
        <x:v>Yes</x:v>
      </x:c>
      <x:c r="I44" s="99" t="str">
        <x:v>Not started</x:v>
      </x:c>
      <x:c r="J44" s="98" t="str"/>
    </x:row>
    <x:row r="45" ht="168" customHeight="1">
      <x:c r="A45" s="95" t="n">
        <x:v>46327.5</x:v>
      </x:c>
      <x:c r="B45" s="100" t="str">
        <x:v>Weekend</x:v>
      </x:c>
      <x:c r="C45" s="104" t="str">
        <x:v>Quiet release</x:v>
      </x:c>
      <x:c r="D45" s="98" t="str">
        <x:v>Today is 2026-11-01. Work on YOW in /Users/bishop/Desktop/Claude/yow. Read AGENTS.md and docs/ROADMAP.md first. I am a complete beginner, so own all code changes, terminal work, automated tests, documentation, evidence collection, and safe troubleshooting yourself.
MORNING TECHNICAL ASSIGNMENT
If every hard gate is green: take final backups, deploy the approved release, close public Beta enrollment, preserve existing testers, enable checkout quietly, and monitor.
EVENING OWNER ACTION TO PREPARE
Complete one real purchase, verify entitlement/save/export/refund-support paths, and keep rollback ready. No advertising today.
TIME LIMIT
15 min + up to 3 h 45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One real purchase grants the correct access; save and export work; Beta is no longer public; existing testers stay safe; rollback is ready.
At the end, state Done, In progress, or Blocked; list the evidence; and name the single next action if unfinished.</x:v>
      </x:c>
      <x:c r="E45" s="98" t="str">
        <x:v>1. Morning (15 minutes): open Codex and paste the entire AI prompt from the previous column. Then leave the technical work with AI.
2. Block 1: do the first half of the guided test, then take a real break. Block 2: continue from the last safe step and review the evidence.
3. Your action: Complete one real purchase, verify entitlement/save/export/refund-support paths, and keep rollback ready. No advertising today.
4. Safety: Back up first. Stop and roll back if auth, payment, entitlement, save, or export differs from rehearsal. No ads today.
5. Stop when 15 min + up to 3 h 45 min is used. Mark In progress or Blocked with the last successful step; never borrow time from tomorrow.
6. Mark Done only when the expected result and evidence are both present.</x:v>
      </x:c>
      <x:c r="F45" s="98" t="str">
        <x:v>15 min + up to 3 h 45 min</x:v>
      </x:c>
      <x:c r="G45" s="98" t="str">
        <x:v>One real purchase grants the correct access; save and export work; Beta is no longer public; existing testers stay safe; rollback is ready.</x:v>
      </x:c>
      <x:c r="H45" s="99" t="str">
        <x:v>Yes</x:v>
      </x:c>
      <x:c r="I45" s="99" t="str">
        <x:v>Not started</x:v>
      </x:c>
      <x:c r="J45" s="98" t="str"/>
    </x:row>
    <x:row r="46" ht="168" customHeight="1">
      <x:c r="A46" s="105" t="n">
        <x:v>46328.5</x:v>
      </x:c>
      <x:c r="B46" s="106" t="str">
        <x:v>Weekday</x:v>
      </x:c>
      <x:c r="C46" s="107" t="str">
        <x:v>Public launch</x:v>
      </x:c>
      <x:c r="D46" s="108" t="str">
        <x:v>Today is 2026-11-02. Work on YOW in /Users/bishop/Desktop/Claude/yow. Read AGENTS.md and docs/ROADMAP.md first. I am a complete beginner, so own all code changes, terminal work, automated tests, documentation, evidence collection, and safe troubleshooting yourself.
MORNING TECHNICAL ASSIGNMENT
Recheck overnight errors, payments, entitlements, email, analytics, and support; fix only launch blockers, then publish approved marketing.
EVENING OWNER ACTION TO PREPARE
Review the morning evidence, approve the public announcement/ads, and monitor the first responses that evening.
TIME LIMIT
10 min + 100 min. Do not create extra owner work beyond this cap.
HOW TO WORK
Work autonomously as far as safely possible. Preserve unrelated user changes. Update docs/ROADMAP.md and docs/QA_PLAN.md when evidence or behaviour changes. Then give me one beginner-friendly step at a time for the owner action. Before each owner step, say which app or website to open, exactly what to click or type, what I should expect to see, and what I must not touch. Do not ask me to edit code or run terminal commands. Never request passwords, API keys, recovery codes, or secret values. Stop before destructive production, live billing, email, or public actions unless this dated task explicitly authorises that exact action.
DONE MEANS
Overnight health is clean, approved marketing is live, and payment, entitlement, analytics, and support monitoring are active.
At the end, state Done, In progress, or Blocked; list the evidence; and name the single next action if unfinished.</x:v>
      </x:c>
      <x:c r="E46" s="108" t="str">
        <x:v>1. Morning (10 minutes): open Codex and paste the entire AI prompt from the previous column. Then leave the technical work with AI.
2. Evening: open Codex's result and follow its owner instructions one step at a time.
3. Your action: Review the morning evidence, approve the public announcement/ads, and monitor the first responses that evening.
4. Safety: Do not publish until overnight evidence is healthy. Keep rollback and checkout-disable instructions open.
5. Stop when 10 min + 100 min is used. Mark In progress or Blocked with the last successful step; never borrow time from tomorrow.
6. Mark Done only when the expected result and evidence are both present.</x:v>
      </x:c>
      <x:c r="F46" s="108" t="str">
        <x:v>10 min + 100 min</x:v>
      </x:c>
      <x:c r="G46" s="108" t="str">
        <x:v>Overnight health is clean, approved marketing is live, and payment, entitlement, analytics, and support monitoring are active.</x:v>
      </x:c>
      <x:c r="H46" s="109" t="str">
        <x:v>Yes</x:v>
      </x:c>
      <x:c r="I46" s="109" t="str">
        <x:v>Not started</x:v>
      </x:c>
      <x:c r="J46" s="108" t="str"/>
    </x:row>
  </x:sheetData>
  <x:mergeCells>
    <x:mergeCell ref="A2:J2"/>
    <x:mergeCell ref="A3:J3"/>
    <x:mergeCell ref="D5:J5"/>
    <x:mergeCell ref="D6:J9"/>
  </x:mergeCells>
  <x:conditionalFormatting sqref="I11:I46">
    <x:cfRule type="containsText" dxfId="0" priority="1" operator="containsText" text="Done"/>
    <x:cfRule type="containsText" dxfId="1" priority="2" operator="containsText" text="In progress"/>
    <x:cfRule type="containsText" dxfId="2" priority="3" operator="containsText" text="Blocked"/>
    <x:cfRule type="containsText" dxfId="3" priority="4" operator="containsText" text="Not started"/>
  </x:conditionalFormatting>
  <x:dataValidations count="1">
    <x:dataValidation type="list" sqref="I11:I46">
      <x:formula1>"Not started,In progress,Blocked,Done"</x:formula1>
    </x:dataValidation>
  </x:dataValidations>
  <x:pageMargins left="0.7" right="0.7" top="0.75" bottom="0.75" header="0.3" footer="0.3"/>
  <x:tableParts count="1">
    <x:tablePart xmlns:r="http://schemas.openxmlformats.org/officeDocument/2006/relationships" r:id="Rac6f61ffbd834051"/>
  </x:tableParts>
</x:worksheet>
</file>

<file path=xl/worksheets/sheet3.xml><?xml version="1.0" encoding="utf-8"?>
<x:worksheet xmlns:x="http://schemas.openxmlformats.org/spreadsheetml/2006/main">
  <x:sheetPr>
    <x:tabColor rgb="FF2B7A78"/>
  </x:sheetPr>
  <x:sheetViews>
    <x:sheetView showGridLines="0" workbookViewId="0">
      <x:pane ySplit="3" topLeftCell="A4" activePane="bottomLeft" state="frozen"/>
    </x:sheetView>
  </x:sheetViews>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s>
  <x:sheetData>
    <x:row r="2">
      <x:c r="A2" s="1" t="str">
        <x:v>YOW launch calendar — at a glance</x:v>
      </x:c>
    </x:row>
    <x:row r="3">
      <x:c r="A3" s="2" t="str">
        <x:v>Weekdays ≤2 hours · weekends ≤4 hours · use Daily Guide for the full prompt and exact instructions</x:v>
      </x:c>
    </x:row>
    <x:row r="5" ht="24" customHeight="1">
      <x:c r="A5" s="115" t="str">
        <x:v>Week 1 · 2026-09-28 to 2026-10-04</x:v>
      </x:c>
      <x:c r="B5" s="116"/>
      <x:c r="C5" s="116"/>
      <x:c r="D5" s="116"/>
      <x:c r="E5" s="116"/>
      <x:c r="F5" s="116"/>
      <x:c r="G5" s="116"/>
      <x:c r="H5" s="116"/>
      <x:c r="I5" s="116"/>
      <x:c r="J5" s="116"/>
      <x:c r="K5" s="116"/>
      <x:c r="L5" s="116"/>
      <x:c r="M5" s="116"/>
      <x:c r="N5" s="117"/>
    </x:row>
    <x:row r="6" ht="24" customHeight="1">
      <x:c r="A6" s="122" t="str">
        <x:v>Mon 28 Sept</x:v>
      </x:c>
      <x:c r="B6" s="123"/>
      <x:c r="C6" s="122" t="str">
        <x:v>Tue 29 Sept</x:v>
      </x:c>
      <x:c r="D6" s="123"/>
      <x:c r="E6" s="122" t="str">
        <x:v>Wed 30 Sept</x:v>
      </x:c>
      <x:c r="F6" s="123"/>
      <x:c r="G6" s="122" t="str">
        <x:v>Thu 1 Oct</x:v>
      </x:c>
      <x:c r="H6" s="123"/>
      <x:c r="I6" s="122" t="str">
        <x:v>Fri 2 Oct</x:v>
      </x:c>
      <x:c r="J6" s="123"/>
      <x:c r="K6" s="122" t="str">
        <x:v>Sat 3 Oct</x:v>
      </x:c>
      <x:c r="L6" s="123"/>
      <x:c r="M6" s="122" t="str">
        <x:v>Sun 4 Oct</x:v>
      </x:c>
      <x:c r="N6" s="123"/>
    </x:row>
    <x:row r="7" ht="26" customHeight="1">
      <x:c r="A7" s="138" t="str">
        <x:v>AM — AI
Repair the red release baseline: reconcile the Vercel route test, review the dirty checkout, run full QA, and produce a plain-English blocker report.
PM / BLOCKS — YOU
Review the report, approve the frozen launch scope, and make only required product decisions.
CAP: 10 min morning + 75 min evening</x:v>
      </x:c>
      <x:c r="B7" s="139"/>
      <x:c r="C7" s="138" t="str">
        <x:v>AM — AI
Finish baseline fixes, rerun all release checks, classify remaining warnings by launch risk, and prepare a safe smoke-test script.
PM / BLOCKS — YOU
Run sign-in → open/create project → write → refresh → export; report exactly what appears.
CAP: 10 min + 90 min</x:v>
      </x:c>
      <x:c r="D7" s="139"/>
      <x:c r="E7" s="138" t="str">
        <x:v>AM — AI
Audit the pending Supabase migrations, production prerequisites, rollback steps, and Security Advisor checks; prepare one-step owner instructions.
PM / BLOCKS — YOU
Open Supabase with Codex guidance, apply only the verified migrations, and record the results.
CAP: 10 min + 90 min</x:v>
      </x:c>
      <x:c r="F7" s="139"/>
      <x:c r="G7" s="138" t="str">
        <x:v>AM — AI
Prepare and monitor the real two-tab scene-concurrency acceptance test; fix any reproducible failure and rerun automated coverage.
PM / BLOCKS — YOU
Perform the guided same-scene two-tab test and review or discard the conflict copy.
CAP: 10 min + 90 min</x:v>
      </x:c>
      <x:c r="H7" s="139"/>
      <x:c r="I7" s="138" t="str">
        <x:v>AM — AI
Prepare the two-account/account-switch entitlement-isolation test and inspect all server-side entitlement paths.
PM / BLOCKS — YOU
Run the guided two-account test using designated test accounts only.
CAP: 10 min + 90 min</x:v>
      </x:c>
      <x:c r="J7" s="139"/>
      <x:c r="K7" s="158" t="str">
        <x:v>AM — AI
Drive the destructive-action, rollback, media, and quota test suite; prepare disposable fixtures and one-step instructions.
PM / BLOCKS — YOU
Test project deletion/restore, account deletion fixture, media replace/delete, and quota accounting in two blocks.
CAP: 15 min + up to 3 h 45 min</x:v>
      </x:c>
      <x:c r="L7" s="159"/>
      <x:c r="M7" s="158" t="str">
        <x:v>AM — AI
Run export/import collision and full-account ownership checks; repair failures and assemble Data Safety Gate evidence.
PM / BLOCKS — YOU
Export, inspect, restore/import, and complete the Data Safety go/no-go review.
CAP: 15 min + up to 3 h 45 min</x:v>
      </x:c>
      <x:c r="N7" s="159"/>
    </x:row>
    <x:row r="8" ht="26" customHeight="1">
      <x:c r="A8" s="140"/>
      <x:c r="B8" s="141"/>
      <x:c r="C8" s="140"/>
      <x:c r="D8" s="141"/>
      <x:c r="E8" s="140"/>
      <x:c r="F8" s="141"/>
      <x:c r="G8" s="140"/>
      <x:c r="H8" s="141"/>
      <x:c r="I8" s="140"/>
      <x:c r="J8" s="141"/>
      <x:c r="K8" s="160"/>
      <x:c r="L8" s="161"/>
      <x:c r="M8" s="160"/>
      <x:c r="N8" s="161"/>
    </x:row>
    <x:row r="9" ht="26" customHeight="1">
      <x:c r="A9" s="140"/>
      <x:c r="B9" s="141"/>
      <x:c r="C9" s="140"/>
      <x:c r="D9" s="141"/>
      <x:c r="E9" s="140"/>
      <x:c r="F9" s="141"/>
      <x:c r="G9" s="140"/>
      <x:c r="H9" s="141"/>
      <x:c r="I9" s="140"/>
      <x:c r="J9" s="141"/>
      <x:c r="K9" s="160"/>
      <x:c r="L9" s="161"/>
      <x:c r="M9" s="160"/>
      <x:c r="N9" s="161"/>
    </x:row>
    <x:row r="10" ht="26" customHeight="1">
      <x:c r="A10" s="140"/>
      <x:c r="B10" s="141"/>
      <x:c r="C10" s="140"/>
      <x:c r="D10" s="141"/>
      <x:c r="E10" s="140"/>
      <x:c r="F10" s="141"/>
      <x:c r="G10" s="140"/>
      <x:c r="H10" s="141"/>
      <x:c r="I10" s="140"/>
      <x:c r="J10" s="141"/>
      <x:c r="K10" s="160"/>
      <x:c r="L10" s="161"/>
      <x:c r="M10" s="160"/>
      <x:c r="N10" s="161"/>
    </x:row>
    <x:row r="11" ht="26" customHeight="1">
      <x:c r="A11" s="142"/>
      <x:c r="B11" s="143"/>
      <x:c r="C11" s="142"/>
      <x:c r="D11" s="143"/>
      <x:c r="E11" s="142"/>
      <x:c r="F11" s="143"/>
      <x:c r="G11" s="142"/>
      <x:c r="H11" s="143"/>
      <x:c r="I11" s="142"/>
      <x:c r="J11" s="143"/>
      <x:c r="K11" s="162"/>
      <x:c r="L11" s="163"/>
      <x:c r="M11" s="162"/>
      <x:c r="N11" s="163"/>
    </x:row>
    <x:row r="13" ht="24" customHeight="1">
      <x:c r="A13" s="169" t="str">
        <x:v>Week 2 · 2026-10-05 to 2026-10-11</x:v>
      </x:c>
      <x:c r="B13" s="170"/>
      <x:c r="C13" s="170"/>
      <x:c r="D13" s="170"/>
      <x:c r="E13" s="170"/>
      <x:c r="F13" s="170"/>
      <x:c r="G13" s="170"/>
      <x:c r="H13" s="170"/>
      <x:c r="I13" s="170"/>
      <x:c r="J13" s="170"/>
      <x:c r="K13" s="170"/>
      <x:c r="L13" s="170"/>
      <x:c r="M13" s="170"/>
      <x:c r="N13" s="171"/>
    </x:row>
    <x:row r="14" ht="24" customHeight="1">
      <x:c r="A14" s="122" t="str">
        <x:v>Mon 5 Oct</x:v>
      </x:c>
      <x:c r="B14" s="123"/>
      <x:c r="C14" s="122" t="str">
        <x:v>Tue 6 Oct</x:v>
      </x:c>
      <x:c r="D14" s="123"/>
      <x:c r="E14" s="122" t="str">
        <x:v>Wed 7 Oct</x:v>
      </x:c>
      <x:c r="F14" s="123"/>
      <x:c r="G14" s="122" t="str">
        <x:v>Thu 8 Oct</x:v>
      </x:c>
      <x:c r="H14" s="123"/>
      <x:c r="I14" s="122" t="str">
        <x:v>Fri 9 Oct</x:v>
      </x:c>
      <x:c r="J14" s="123"/>
      <x:c r="K14" s="122" t="str">
        <x:v>Sat 10 Oct</x:v>
      </x:c>
      <x:c r="L14" s="123"/>
      <x:c r="M14" s="122" t="str">
        <x:v>Sun 11 Oct</x:v>
      </x:c>
      <x:c r="N14" s="123"/>
    </x:row>
    <x:row r="15" ht="26" customHeight="1">
      <x:c r="A15" s="138" t="str">
        <x:v>AM — AI
Audit and live-check AI proxy, email endpoints, CORS, durable rate limits, token rejection, and deployed security headers.
PM / BLOCKS — YOU
Follow the safe browser/dashboard checks and record only pass/fail evidence.
CAP: 10 min + 90 min</x:v>
      </x:c>
      <x:c r="B15" s="139"/>
      <x:c r="C15" s="138" t="str">
        <x:v>AM — AI
Complete private-media RLS and storage-accounting verification, including replacement and deletion cleanup.
PM / BLOCKS — YOU
Upload, replace, delete, and verify one disposable image and its storage figure.
CAP: 10 min + 75 min</x:v>
      </x:c>
      <x:c r="D15" s="139"/>
      <x:c r="E15" s="138" t="str">
        <x:v>AM — AI
Finish the cloud-expiry/inactive-account lifecycle implementation and tests: notices, Export All, grace, archive/delete, and cloud-write shutdown.
PM / BLOCKS — YOU
Review the customer-visible sequence and approve the exact wording.
CAP: 10 min + 75 min</x:v>
      </x:c>
      <x:c r="F15" s="139"/>
      <x:c r="G15" s="138" t="str">
        <x:v>AM — AI
Run complete ZIP/DOCX/PDF/World Bible ownership and privacy checks, including expiry access and readable output inspection.
PM / BLOCKS — YOU
Open the generated files and confirm the expected content is present and private data is absent where promised.
CAP: 10 min + 90 min</x:v>
      </x:c>
      <x:c r="H15" s="139"/>
      <x:c r="I15" s="138" t="str">
        <x:v>AM — AI
Retrieve or document the missing production function definitions, close reproducible database-build gaps, and rerun database checks.
PM / BLOCKS — YOU
Provide guided production access only if needed; review the database continuity result.
CAP: 10 min + 60 min</x:v>
      </x:c>
      <x:c r="J15" s="139"/>
      <x:c r="K15" s="158" t="str">
        <x:v>AM — AI
Run the entire data-safety/auth/export matrix and fix failures in priority order.
PM / BLOCKS — YOU
Perform the remaining real-account checks in two focused blocks; stop at four hours.
CAP: 15 min + up to 3 h 45 min</x:v>
      </x:c>
      <x:c r="L15" s="159"/>
      <x:c r="M15" s="158" t="str">
        <x:v>AM — AI
Use the day as the hard-gate repair buffer, rerun the whole matrix, and produce a signed-off evidence summary.
PM / BLOCKS — YOU
Review the summary. Mark the gate Done only if no data-loss/auth/export blocker remains.
CAP: 15 min + up to 3 h 45 min</x:v>
      </x:c>
      <x:c r="N15" s="159"/>
    </x:row>
    <x:row r="16" ht="26" customHeight="1">
      <x:c r="A16" s="140"/>
      <x:c r="B16" s="141"/>
      <x:c r="C16" s="140"/>
      <x:c r="D16" s="141"/>
      <x:c r="E16" s="140"/>
      <x:c r="F16" s="141"/>
      <x:c r="G16" s="140"/>
      <x:c r="H16" s="141"/>
      <x:c r="I16" s="140"/>
      <x:c r="J16" s="141"/>
      <x:c r="K16" s="160"/>
      <x:c r="L16" s="161"/>
      <x:c r="M16" s="160"/>
      <x:c r="N16" s="161"/>
    </x:row>
    <x:row r="17" ht="26" customHeight="1">
      <x:c r="A17" s="140"/>
      <x:c r="B17" s="141"/>
      <x:c r="C17" s="140"/>
      <x:c r="D17" s="141"/>
      <x:c r="E17" s="140"/>
      <x:c r="F17" s="141"/>
      <x:c r="G17" s="140"/>
      <x:c r="H17" s="141"/>
      <x:c r="I17" s="140"/>
      <x:c r="J17" s="141"/>
      <x:c r="K17" s="160"/>
      <x:c r="L17" s="161"/>
      <x:c r="M17" s="160"/>
      <x:c r="N17" s="161"/>
    </x:row>
    <x:row r="18" ht="26" customHeight="1">
      <x:c r="A18" s="140"/>
      <x:c r="B18" s="141"/>
      <x:c r="C18" s="140"/>
      <x:c r="D18" s="141"/>
      <x:c r="E18" s="140"/>
      <x:c r="F18" s="141"/>
      <x:c r="G18" s="140"/>
      <x:c r="H18" s="141"/>
      <x:c r="I18" s="140"/>
      <x:c r="J18" s="141"/>
      <x:c r="K18" s="160"/>
      <x:c r="L18" s="161"/>
      <x:c r="M18" s="160"/>
      <x:c r="N18" s="161"/>
    </x:row>
    <x:row r="19" ht="26" customHeight="1">
      <x:c r="A19" s="142"/>
      <x:c r="B19" s="143"/>
      <x:c r="C19" s="142"/>
      <x:c r="D19" s="143"/>
      <x:c r="E19" s="142"/>
      <x:c r="F19" s="143"/>
      <x:c r="G19" s="142"/>
      <x:c r="H19" s="143"/>
      <x:c r="I19" s="142"/>
      <x:c r="J19" s="143"/>
      <x:c r="K19" s="162"/>
      <x:c r="L19" s="163"/>
      <x:c r="M19" s="162"/>
      <x:c r="N19" s="163"/>
    </x:row>
    <x:row r="21" ht="24" customHeight="1">
      <x:c r="A21" s="177" t="str">
        <x:v>Week 3 · 2026-10-12 to 2026-10-18</x:v>
      </x:c>
      <x:c r="B21" s="178"/>
      <x:c r="C21" s="178"/>
      <x:c r="D21" s="178"/>
      <x:c r="E21" s="178"/>
      <x:c r="F21" s="178"/>
      <x:c r="G21" s="178"/>
      <x:c r="H21" s="178"/>
      <x:c r="I21" s="178"/>
      <x:c r="J21" s="178"/>
      <x:c r="K21" s="178"/>
      <x:c r="L21" s="178"/>
      <x:c r="M21" s="178"/>
      <x:c r="N21" s="179"/>
    </x:row>
    <x:row r="22" ht="24" customHeight="1">
      <x:c r="A22" s="122" t="str">
        <x:v>Mon 12 Oct</x:v>
      </x:c>
      <x:c r="B22" s="123"/>
      <x:c r="C22" s="122" t="str">
        <x:v>Tue 13 Oct</x:v>
      </x:c>
      <x:c r="D22" s="123"/>
      <x:c r="E22" s="122" t="str">
        <x:v>Wed 14 Oct</x:v>
      </x:c>
      <x:c r="F22" s="123"/>
      <x:c r="G22" s="122" t="str">
        <x:v>Thu 15 Oct</x:v>
      </x:c>
      <x:c r="H22" s="123"/>
      <x:c r="I22" s="122" t="str">
        <x:v>Fri 16 Oct</x:v>
      </x:c>
      <x:c r="J22" s="123"/>
      <x:c r="K22" s="122" t="str">
        <x:v>Sat 17 Oct</x:v>
      </x:c>
      <x:c r="L22" s="123"/>
      <x:c r="M22" s="122" t="str">
        <x:v>Sun 18 Oct</x:v>
      </x:c>
      <x:c r="N22" s="123"/>
    </x:row>
    <x:row r="23" ht="26" customHeight="1">
      <x:c r="A23" s="138" t="str">
        <x:v>AM — AI
Implement/finish the full signed-in Tauri project workspace and run desktop unit/Rust/build checks.
PM / BLOCKS — YOU
Open the Mac test build and verify login, library, project navigation, and writing.
CAP: 10 min + 100 min</x:v>
      </x:c>
      <x:c r="B23" s="139"/>
      <x:c r="C23" s="138" t="str">
        <x:v>AM — AI
Stress the desktop vault: write-behind durability, quit/force-quit, snapshot, restore, relocation, integrity, and disk-error handling.
PM / BLOCKS — YOU
Run the guided vault persistence and restore test with an isolated test vault.
CAP: 10 min + 100 min</x:v>
      </x:c>
      <x:c r="D23" s="139"/>
      <x:c r="E23" s="138" t="str">
        <x:v>AM — AI
Verify and repair native ZIP/DOCX/PDF/PNG save dialogs and file contents in packaged desktop builds.
PM / BLOCKS — YOU
Save and open each format from the packaged Mac app.
CAP: 10 min + 90 min</x:v>
      </x:c>
      <x:c r="F23" s="139"/>
      <x:c r="G23" s="138" t="str">
        <x:v>AM — AI
Finish Local Mode/lapse/renewal merge logic, cold-start retry, conflict surfacing, and no-cloud-write verification.
PM / BLOCKS — YOU
Run the guided lapse → web edit → renewal → desktop merge scenario.
CAP: 10 min + 100 min</x:v>
      </x:c>
      <x:c r="H23" s="139"/>
      <x:c r="I23" s="138" t="str">
        <x:v>AM — AI
Finalise updater manifests, download entitlement gating, installer URLs, hashes, provenance, and unsigned-app instructions.
PM / BLOCKS — YOU
Review the download page and Mac instructions as a customer.
CAP: 10 min + 75 min</x:v>
      </x:c>
      <x:c r="J23" s="139"/>
      <x:c r="K23" s="158" t="str">
        <x:v>AM — AI
Produce and inspect the final Mac candidate; drive clean-machine install, workspace, export, restore, updater, and uninstall acceptance.
PM / BLOCKS — YOU
Complete the clean/test Mac checklist in two blocks.
CAP: 15 min + up to 3 h 45 min</x:v>
      </x:c>
      <x:c r="L23" s="159"/>
      <x:c r="M23" s="158" t="str">
        <x:v>AM — AI
Produce the Windows candidate in CI and drive Windows clean-machine/WebView2/install/export/updater/uninstall acceptance; close the Desktop Gate.
PM / BLOCKS — YOU
Complete or coordinate the Windows checklist, then review the combined desktop evidence.
CAP: 15 min + up to 3 h 45 min</x:v>
      </x:c>
      <x:c r="N23" s="159"/>
    </x:row>
    <x:row r="24" ht="26" customHeight="1">
      <x:c r="A24" s="140"/>
      <x:c r="B24" s="141"/>
      <x:c r="C24" s="140"/>
      <x:c r="D24" s="141"/>
      <x:c r="E24" s="140"/>
      <x:c r="F24" s="141"/>
      <x:c r="G24" s="140"/>
      <x:c r="H24" s="141"/>
      <x:c r="I24" s="140"/>
      <x:c r="J24" s="141"/>
      <x:c r="K24" s="160"/>
      <x:c r="L24" s="161"/>
      <x:c r="M24" s="160"/>
      <x:c r="N24" s="161"/>
    </x:row>
    <x:row r="25" ht="26" customHeight="1">
      <x:c r="A25" s="140"/>
      <x:c r="B25" s="141"/>
      <x:c r="C25" s="140"/>
      <x:c r="D25" s="141"/>
      <x:c r="E25" s="140"/>
      <x:c r="F25" s="141"/>
      <x:c r="G25" s="140"/>
      <x:c r="H25" s="141"/>
      <x:c r="I25" s="140"/>
      <x:c r="J25" s="141"/>
      <x:c r="K25" s="160"/>
      <x:c r="L25" s="161"/>
      <x:c r="M25" s="160"/>
      <x:c r="N25" s="161"/>
    </x:row>
    <x:row r="26" ht="26" customHeight="1">
      <x:c r="A26" s="140"/>
      <x:c r="B26" s="141"/>
      <x:c r="C26" s="140"/>
      <x:c r="D26" s="141"/>
      <x:c r="E26" s="140"/>
      <x:c r="F26" s="141"/>
      <x:c r="G26" s="140"/>
      <x:c r="H26" s="141"/>
      <x:c r="I26" s="140"/>
      <x:c r="J26" s="141"/>
      <x:c r="K26" s="160"/>
      <x:c r="L26" s="161"/>
      <x:c r="M26" s="160"/>
      <x:c r="N26" s="161"/>
    </x:row>
    <x:row r="27" ht="26" customHeight="1">
      <x:c r="A27" s="142"/>
      <x:c r="B27" s="143"/>
      <x:c r="C27" s="142"/>
      <x:c r="D27" s="143"/>
      <x:c r="E27" s="142"/>
      <x:c r="F27" s="143"/>
      <x:c r="G27" s="142"/>
      <x:c r="H27" s="143"/>
      <x:c r="I27" s="142"/>
      <x:c r="J27" s="143"/>
      <x:c r="K27" s="162"/>
      <x:c r="L27" s="163"/>
      <x:c r="M27" s="162"/>
      <x:c r="N27" s="163"/>
    </x:row>
    <x:row r="29" ht="24" customHeight="1">
      <x:c r="A29" s="185" t="str">
        <x:v>Week 4 · 2026-10-19 to 2026-10-25</x:v>
      </x:c>
      <x:c r="B29" s="186"/>
      <x:c r="C29" s="186"/>
      <x:c r="D29" s="186"/>
      <x:c r="E29" s="186"/>
      <x:c r="F29" s="186"/>
      <x:c r="G29" s="186"/>
      <x:c r="H29" s="186"/>
      <x:c r="I29" s="186"/>
      <x:c r="J29" s="186"/>
      <x:c r="K29" s="186"/>
      <x:c r="L29" s="186"/>
      <x:c r="M29" s="186"/>
      <x:c r="N29" s="187"/>
    </x:row>
    <x:row r="30" ht="24" customHeight="1">
      <x:c r="A30" s="122" t="str">
        <x:v>Mon 19 Oct</x:v>
      </x:c>
      <x:c r="B30" s="123"/>
      <x:c r="C30" s="122" t="str">
        <x:v>Tue 20 Oct</x:v>
      </x:c>
      <x:c r="D30" s="123"/>
      <x:c r="E30" s="122" t="str">
        <x:v>Wed 21 Oct</x:v>
      </x:c>
      <x:c r="F30" s="123"/>
      <x:c r="G30" s="122" t="str">
        <x:v>Thu 22 Oct</x:v>
      </x:c>
      <x:c r="H30" s="123"/>
      <x:c r="I30" s="122" t="str">
        <x:v>Fri 23 Oct</x:v>
      </x:c>
      <x:c r="J30" s="123"/>
      <x:c r="K30" s="122" t="str">
        <x:v>Sat 24 Oct</x:v>
      </x:c>
      <x:c r="L30" s="123"/>
      <x:c r="M30" s="122" t="str">
        <x:v>Sun 25 Oct</x:v>
      </x:c>
      <x:c r="N30" s="123"/>
    </x:row>
    <x:row r="31" ht="26" customHeight="1">
      <x:c r="A31" s="138" t="str">
        <x:v>AM — AI
Run and repair complete Novella and Short Story workflow, defaults, persistence, and export acceptance.
PM / BLOCKS — YOU
Perform the two guided create → write → export journeys.
CAP: 10 min + 100 min</x:v>
      </x:c>
      <x:c r="B31" s="139"/>
      <x:c r="C31" s="138" t="str">
        <x:v>AM — AI
Run and repair complete D&amp;D and TTRPG prep/recap, Character Builder, map/default, AI-context, and export acceptance.
PM / BLOCKS — YOU
Perform the two guided campaign journeys using disposable campaigns.
CAP: 10 min + 100 min</x:v>
      </x:c>
      <x:c r="D31" s="139"/>
      <x:c r="E31" s="138" t="str">
        <x:v>AM — AI
Run and repair Novel and Comic live-cloud, large-project, and complete export acceptance.
PM / BLOCKS — YOU
Perform the guided Novel and Comic journeys.
CAP: 10 min + 100 min</x:v>
      </x:c>
      <x:c r="F31" s="139"/>
      <x:c r="G31" s="138" t="str">
        <x:v>AM — AI
Run the full Map Builder owner checklist and repair interaction, layer, persistence, responsive, and export defects.
PM / BLOCKS — YOU
Complete the guided map workflow and inspect its exports.
CAP: 10 min + 100 min</x:v>
      </x:c>
      <x:c r="H31" s="139"/>
      <x:c r="I31" s="138" t="str">
        <x:v>AM — AI
Consolidate remaining Characters, Locations, Lore, Timeline/History, Family/Factions, Series, Schedule, Focused Writing, and AI Import checks.
PM / BLOCKS — YOU
Work through the short owner verification packet; flag only reproducible failures.
CAP: 10 min + 100 min</x:v>
      </x:c>
      <x:c r="J31" s="139"/>
      <x:c r="K31" s="158" t="str">
        <x:v>AM — AI
Run realistic large-project performance plus 375/768/desktop, keyboard, focus, contrast, real-iPhone, and theme acceptance; fix blockers.
PM / BLOCKS — YOU
Complete device/accessibility tests in two focused blocks.
CAP: 15 min + up to 3 h 45 min</x:v>
      </x:c>
      <x:c r="L31" s="159"/>
      <x:c r="M31" s="158" t="str">
        <x:v>AM — AI
Test every advertised AI provider, context grounding, errors/retry, secret isolation, chat persistence/export, then rerun all six project-type exports.
PM / BLOCKS — YOU
Supply provider access without sharing secrets; complete the Product Gate review.
CAP: 15 min + up to 3 h 45 min</x:v>
      </x:c>
      <x:c r="N31" s="159"/>
    </x:row>
    <x:row r="32" ht="26" customHeight="1">
      <x:c r="A32" s="140"/>
      <x:c r="B32" s="141"/>
      <x:c r="C32" s="140"/>
      <x:c r="D32" s="141"/>
      <x:c r="E32" s="140"/>
      <x:c r="F32" s="141"/>
      <x:c r="G32" s="140"/>
      <x:c r="H32" s="141"/>
      <x:c r="I32" s="140"/>
      <x:c r="J32" s="141"/>
      <x:c r="K32" s="160"/>
      <x:c r="L32" s="161"/>
      <x:c r="M32" s="160"/>
      <x:c r="N32" s="161"/>
    </x:row>
    <x:row r="33" ht="26" customHeight="1">
      <x:c r="A33" s="140"/>
      <x:c r="B33" s="141"/>
      <x:c r="C33" s="140"/>
      <x:c r="D33" s="141"/>
      <x:c r="E33" s="140"/>
      <x:c r="F33" s="141"/>
      <x:c r="G33" s="140"/>
      <x:c r="H33" s="141"/>
      <x:c r="I33" s="140"/>
      <x:c r="J33" s="141"/>
      <x:c r="K33" s="160"/>
      <x:c r="L33" s="161"/>
      <x:c r="M33" s="160"/>
      <x:c r="N33" s="161"/>
    </x:row>
    <x:row r="34" ht="26" customHeight="1">
      <x:c r="A34" s="140"/>
      <x:c r="B34" s="141"/>
      <x:c r="C34" s="140"/>
      <x:c r="D34" s="141"/>
      <x:c r="E34" s="140"/>
      <x:c r="F34" s="141"/>
      <x:c r="G34" s="140"/>
      <x:c r="H34" s="141"/>
      <x:c r="I34" s="140"/>
      <x:c r="J34" s="141"/>
      <x:c r="K34" s="160"/>
      <x:c r="L34" s="161"/>
      <x:c r="M34" s="160"/>
      <x:c r="N34" s="161"/>
    </x:row>
    <x:row r="35" ht="26" customHeight="1">
      <x:c r="A35" s="142"/>
      <x:c r="B35" s="143"/>
      <x:c r="C35" s="142"/>
      <x:c r="D35" s="143"/>
      <x:c r="E35" s="142"/>
      <x:c r="F35" s="143"/>
      <x:c r="G35" s="142"/>
      <x:c r="H35" s="143"/>
      <x:c r="I35" s="142"/>
      <x:c r="J35" s="143"/>
      <x:c r="K35" s="162"/>
      <x:c r="L35" s="163"/>
      <x:c r="M35" s="162"/>
      <x:c r="N35" s="163"/>
    </x:row>
    <x:row r="37" ht="24" customHeight="1">
      <x:c r="A37" s="193" t="str">
        <x:v>Week 5 · 2026-10-26 to 2026-11-01</x:v>
      </x:c>
      <x:c r="B37" s="194"/>
      <x:c r="C37" s="194"/>
      <x:c r="D37" s="194"/>
      <x:c r="E37" s="194"/>
      <x:c r="F37" s="194"/>
      <x:c r="G37" s="194"/>
      <x:c r="H37" s="194"/>
      <x:c r="I37" s="194"/>
      <x:c r="J37" s="194"/>
      <x:c r="K37" s="194"/>
      <x:c r="L37" s="194"/>
      <x:c r="M37" s="194"/>
      <x:c r="N37" s="195"/>
    </x:row>
    <x:row r="38" ht="24" customHeight="1">
      <x:c r="A38" s="122" t="str">
        <x:v>Mon 26 Oct</x:v>
      </x:c>
      <x:c r="B38" s="123"/>
      <x:c r="C38" s="122" t="str">
        <x:v>Tue 27 Oct</x:v>
      </x:c>
      <x:c r="D38" s="123"/>
      <x:c r="E38" s="122" t="str">
        <x:v>Wed 28 Oct</x:v>
      </x:c>
      <x:c r="F38" s="123"/>
      <x:c r="G38" s="122" t="str">
        <x:v>Thu 29 Oct</x:v>
      </x:c>
      <x:c r="H38" s="123"/>
      <x:c r="I38" s="122" t="str">
        <x:v>Fri 30 Oct</x:v>
      </x:c>
      <x:c r="J38" s="123"/>
      <x:c r="K38" s="122" t="str">
        <x:v>Sat 31 Oct</x:v>
      </x:c>
      <x:c r="L38" s="123"/>
      <x:c r="M38" s="122" t="str">
        <x:v>Sun 1 Nov</x:v>
      </x:c>
      <x:c r="N38" s="123"/>
    </x:row>
    <x:row r="39" ht="26" customHeight="1">
      <x:c r="A39" s="138" t="str">
        <x:v>AM — AI
Reconcile Pricing, FAQ, Terms, Privacy, cancellation, storage, Local Mode, expiry, Founder, AI, export, SEO, and marketing promises.
PM / BLOCKS — YOU
Read the plain-English change packet and approve or correct the final customer promises.
CAP: 10 min + 100 min</x:v>
      </x:c>
      <x:c r="B39" s="139"/>
      <x:c r="C39" s="138" t="str">
        <x:v>AM — AI
Audit Stripe configuration, webhook idempotency, entitlement fulfilment, refunds/disputes, Founder allocation, and the test-mode runbook.
PM / BLOCKS — YOU
Open Stripe/Supabase only when guided and confirm the displayed test configuration.
CAP: 10 min + 90 min</x:v>
      </x:c>
      <x:c r="D39" s="139"/>
      <x:c r="E39" s="138" t="str">
        <x:v>AM — AI
Drive the full Stripe test-mode journey one step at a time: Monthly, Lifetime, Founder, renewal, cancel/failure, replay, refund, and dispute.
PM / BLOCKS — YOU
Complete guided test payments and verify app access after each event.
CAP: 10 min + 110 min</x:v>
      </x:c>
      <x:c r="F39" s="139"/>
      <x:c r="G39" s="138" t="str">
        <x:v>AM — AI
Prepare the reversible Beta-closure/migration operation, final website copy, screenshots, launch post, ads, support replies, and analytics checks without publishing.
PM / BLOCKS — YOU
Approve the prepared launch assets and Beta transition wording; publish nothing.
CAP: 10 min + 90 min</x:v>
      </x:c>
      <x:c r="H39" s="139"/>
      <x:c r="I39" s="138" t="str">
        <x:v>AM — AI
Freeze Release Candidate 1; run full automated/browser/Rust/build/security/marketing checks and produce the final go/no-go packet.
PM / BLOCKS — YOU
Perform one 60-minute customer smoke test and make the formal go/no-go decision.
CAP: 10 min + 105 min</x:v>
      </x:c>
      <x:c r="J39" s="139"/>
      <x:c r="K39" s="158" t="str">
        <x:v>AM — AI
Repair only launch blockers, rerun the full gate, take backups, verify rollback/checkout-disable/support procedures, and rehearse the exact production release.
PM / BLOCKS — YOU
Complete the full launch rehearsal in two blocks; checkout remains off.
CAP: 15 min + up to 3 h 45 min</x:v>
      </x:c>
      <x:c r="L39" s="159"/>
      <x:c r="M39" s="158" t="str">
        <x:v>AM — AI
If every hard gate is green: take final backups, deploy the approved release, close public Beta enrollment, preserve existing testers, enable checkout quietly, and monitor.
PM / BLOCKS — YOU
Complete one real purchase, verify entitlement/save/export/refund-support paths, and keep rollback ready. No advertising today.
CAP: 15 min + up to 3 h 45 min</x:v>
      </x:c>
      <x:c r="N39" s="159"/>
    </x:row>
    <x:row r="40" ht="26" customHeight="1">
      <x:c r="A40" s="140"/>
      <x:c r="B40" s="141"/>
      <x:c r="C40" s="140"/>
      <x:c r="D40" s="141"/>
      <x:c r="E40" s="140"/>
      <x:c r="F40" s="141"/>
      <x:c r="G40" s="140"/>
      <x:c r="H40" s="141"/>
      <x:c r="I40" s="140"/>
      <x:c r="J40" s="141"/>
      <x:c r="K40" s="160"/>
      <x:c r="L40" s="161"/>
      <x:c r="M40" s="160"/>
      <x:c r="N40" s="161"/>
    </x:row>
    <x:row r="41" ht="26" customHeight="1">
      <x:c r="A41" s="140"/>
      <x:c r="B41" s="141"/>
      <x:c r="C41" s="140"/>
      <x:c r="D41" s="141"/>
      <x:c r="E41" s="140"/>
      <x:c r="F41" s="141"/>
      <x:c r="G41" s="140"/>
      <x:c r="H41" s="141"/>
      <x:c r="I41" s="140"/>
      <x:c r="J41" s="141"/>
      <x:c r="K41" s="160"/>
      <x:c r="L41" s="161"/>
      <x:c r="M41" s="160"/>
      <x:c r="N41" s="161"/>
    </x:row>
    <x:row r="42" ht="26" customHeight="1">
      <x:c r="A42" s="140"/>
      <x:c r="B42" s="141"/>
      <x:c r="C42" s="140"/>
      <x:c r="D42" s="141"/>
      <x:c r="E42" s="140"/>
      <x:c r="F42" s="141"/>
      <x:c r="G42" s="140"/>
      <x:c r="H42" s="141"/>
      <x:c r="I42" s="140"/>
      <x:c r="J42" s="141"/>
      <x:c r="K42" s="160"/>
      <x:c r="L42" s="161"/>
      <x:c r="M42" s="160"/>
      <x:c r="N42" s="161"/>
    </x:row>
    <x:row r="43" ht="26" customHeight="1">
      <x:c r="A43" s="142"/>
      <x:c r="B43" s="143"/>
      <x:c r="C43" s="142"/>
      <x:c r="D43" s="143"/>
      <x:c r="E43" s="142"/>
      <x:c r="F43" s="143"/>
      <x:c r="G43" s="142"/>
      <x:c r="H43" s="143"/>
      <x:c r="I43" s="142"/>
      <x:c r="J43" s="143"/>
      <x:c r="K43" s="162"/>
      <x:c r="L43" s="163"/>
      <x:c r="M43" s="162"/>
      <x:c r="N43" s="163"/>
    </x:row>
    <x:row r="45" ht="24" customHeight="1">
      <x:c r="A45" s="201" t="str">
        <x:v>Week 6 · 2026-11-02 to 2026-11-02</x:v>
      </x:c>
      <x:c r="B45" s="202"/>
      <x:c r="C45" s="202"/>
      <x:c r="D45" s="202"/>
      <x:c r="E45" s="202"/>
      <x:c r="F45" s="202"/>
      <x:c r="G45" s="202"/>
      <x:c r="H45" s="202"/>
      <x:c r="I45" s="202"/>
      <x:c r="J45" s="202"/>
      <x:c r="K45" s="202"/>
      <x:c r="L45" s="202"/>
      <x:c r="M45" s="202"/>
      <x:c r="N45" s="203"/>
    </x:row>
    <x:row r="46" ht="24" customHeight="1">
      <x:c r="A46" s="122" t="str">
        <x:v>Mon 2 Nov</x:v>
      </x:c>
      <x:c r="B46" s="123"/>
      <x:c r="C46" s="122"/>
      <x:c r="D46" s="123"/>
      <x:c r="E46" s="122"/>
      <x:c r="F46" s="123"/>
      <x:c r="G46" s="122"/>
      <x:c r="H46" s="123"/>
      <x:c r="I46" s="122"/>
      <x:c r="J46" s="123"/>
      <x:c r="K46" s="122"/>
      <x:c r="L46" s="123"/>
      <x:c r="M46" s="122"/>
      <x:c r="N46" s="123"/>
    </x:row>
    <x:row r="47" ht="26" customHeight="1">
      <x:c r="A47" s="138" t="str">
        <x:v>AM — AI
Recheck overnight errors, payments, entitlements, email, analytics, and support; fix only launch blockers, then publish approved marketing.
PM / BLOCKS — YOU
Review the morning evidence, approve the public announcement/ads, and monitor the first responses that evening.
CAP: 10 min + 100 min</x:v>
      </x:c>
      <x:c r="B47" s="139"/>
      <x:c r="C47" s="218"/>
      <x:c r="D47" s="219"/>
      <x:c r="E47" s="218"/>
      <x:c r="F47" s="219"/>
      <x:c r="G47" s="218"/>
      <x:c r="H47" s="219"/>
      <x:c r="I47" s="218"/>
      <x:c r="J47" s="219"/>
      <x:c r="K47" s="218"/>
      <x:c r="L47" s="219"/>
      <x:c r="M47" s="218"/>
      <x:c r="N47" s="219"/>
    </x:row>
    <x:row r="48" ht="26" customHeight="1">
      <x:c r="A48" s="140"/>
      <x:c r="B48" s="141"/>
      <x:c r="C48" s="220"/>
      <x:c r="D48" s="221"/>
      <x:c r="E48" s="220"/>
      <x:c r="F48" s="221"/>
      <x:c r="G48" s="220"/>
      <x:c r="H48" s="221"/>
      <x:c r="I48" s="220"/>
      <x:c r="J48" s="221"/>
      <x:c r="K48" s="220"/>
      <x:c r="L48" s="221"/>
      <x:c r="M48" s="220"/>
      <x:c r="N48" s="221"/>
    </x:row>
    <x:row r="49" ht="26" customHeight="1">
      <x:c r="A49" s="140"/>
      <x:c r="B49" s="141"/>
      <x:c r="C49" s="220"/>
      <x:c r="D49" s="221"/>
      <x:c r="E49" s="220"/>
      <x:c r="F49" s="221"/>
      <x:c r="G49" s="220"/>
      <x:c r="H49" s="221"/>
      <x:c r="I49" s="220"/>
      <x:c r="J49" s="221"/>
      <x:c r="K49" s="220"/>
      <x:c r="L49" s="221"/>
      <x:c r="M49" s="220"/>
      <x:c r="N49" s="221"/>
    </x:row>
    <x:row r="50" ht="26" customHeight="1">
      <x:c r="A50" s="140"/>
      <x:c r="B50" s="141"/>
      <x:c r="C50" s="220"/>
      <x:c r="D50" s="221"/>
      <x:c r="E50" s="220"/>
      <x:c r="F50" s="221"/>
      <x:c r="G50" s="220"/>
      <x:c r="H50" s="221"/>
      <x:c r="I50" s="220"/>
      <x:c r="J50" s="221"/>
      <x:c r="K50" s="220"/>
      <x:c r="L50" s="221"/>
      <x:c r="M50" s="220"/>
      <x:c r="N50" s="221"/>
    </x:row>
    <x:row r="51" ht="26" customHeight="1">
      <x:c r="A51" s="142"/>
      <x:c r="B51" s="143"/>
      <x:c r="C51" s="222"/>
      <x:c r="D51" s="223"/>
      <x:c r="E51" s="222"/>
      <x:c r="F51" s="223"/>
      <x:c r="G51" s="222"/>
      <x:c r="H51" s="223"/>
      <x:c r="I51" s="222"/>
      <x:c r="J51" s="223"/>
      <x:c r="K51" s="222"/>
      <x:c r="L51" s="223"/>
      <x:c r="M51" s="222"/>
      <x:c r="N51" s="223"/>
    </x:row>
  </x:sheetData>
  <x:mergeCells>
    <x:mergeCell ref="A2:N2"/>
    <x:mergeCell ref="A3:N3"/>
    <x:mergeCell ref="A5:N5"/>
    <x:mergeCell ref="A6:B6"/>
    <x:mergeCell ref="A7:B11"/>
    <x:mergeCell ref="C6:D6"/>
    <x:mergeCell ref="C7:D11"/>
    <x:mergeCell ref="E6:F6"/>
    <x:mergeCell ref="E7:F11"/>
    <x:mergeCell ref="G6:H6"/>
    <x:mergeCell ref="G7:H11"/>
    <x:mergeCell ref="I6:J6"/>
    <x:mergeCell ref="I7:J11"/>
    <x:mergeCell ref="K6:L6"/>
    <x:mergeCell ref="K7:L11"/>
    <x:mergeCell ref="M6:N6"/>
    <x:mergeCell ref="M7:N11"/>
    <x:mergeCell ref="A13:N13"/>
    <x:mergeCell ref="A14:B14"/>
    <x:mergeCell ref="A15:B19"/>
    <x:mergeCell ref="C14:D14"/>
    <x:mergeCell ref="C15:D19"/>
    <x:mergeCell ref="E14:F14"/>
    <x:mergeCell ref="E15:F19"/>
    <x:mergeCell ref="G14:H14"/>
    <x:mergeCell ref="G15:H19"/>
    <x:mergeCell ref="I14:J14"/>
    <x:mergeCell ref="I15:J19"/>
    <x:mergeCell ref="K14:L14"/>
    <x:mergeCell ref="K15:L19"/>
    <x:mergeCell ref="M14:N14"/>
    <x:mergeCell ref="M15:N19"/>
    <x:mergeCell ref="A21:N21"/>
    <x:mergeCell ref="A22:B22"/>
    <x:mergeCell ref="A23:B27"/>
    <x:mergeCell ref="C22:D22"/>
    <x:mergeCell ref="C23:D27"/>
    <x:mergeCell ref="E22:F22"/>
    <x:mergeCell ref="E23:F27"/>
    <x:mergeCell ref="G22:H22"/>
    <x:mergeCell ref="G23:H27"/>
    <x:mergeCell ref="I22:J22"/>
    <x:mergeCell ref="I23:J27"/>
    <x:mergeCell ref="K22:L22"/>
    <x:mergeCell ref="K23:L27"/>
    <x:mergeCell ref="M22:N22"/>
    <x:mergeCell ref="M23:N27"/>
    <x:mergeCell ref="A29:N29"/>
    <x:mergeCell ref="A30:B30"/>
    <x:mergeCell ref="A31:B35"/>
    <x:mergeCell ref="C30:D30"/>
    <x:mergeCell ref="C31:D35"/>
    <x:mergeCell ref="E30:F30"/>
    <x:mergeCell ref="E31:F35"/>
    <x:mergeCell ref="G30:H30"/>
    <x:mergeCell ref="G31:H35"/>
    <x:mergeCell ref="I30:J30"/>
    <x:mergeCell ref="I31:J35"/>
    <x:mergeCell ref="K30:L30"/>
    <x:mergeCell ref="K31:L35"/>
    <x:mergeCell ref="M30:N30"/>
    <x:mergeCell ref="M31:N35"/>
    <x:mergeCell ref="A37:N37"/>
    <x:mergeCell ref="A38:B38"/>
    <x:mergeCell ref="A39:B43"/>
    <x:mergeCell ref="C38:D38"/>
    <x:mergeCell ref="C39:D43"/>
    <x:mergeCell ref="E38:F38"/>
    <x:mergeCell ref="E39:F43"/>
    <x:mergeCell ref="G38:H38"/>
    <x:mergeCell ref="G39:H43"/>
    <x:mergeCell ref="I38:J38"/>
    <x:mergeCell ref="I39:J43"/>
    <x:mergeCell ref="K38:L38"/>
    <x:mergeCell ref="K39:L43"/>
    <x:mergeCell ref="M38:N38"/>
    <x:mergeCell ref="M39:N43"/>
    <x:mergeCell ref="A45:N45"/>
    <x:mergeCell ref="A46:B46"/>
    <x:mergeCell ref="A47:B51"/>
    <x:mergeCell ref="C46:D46"/>
    <x:mergeCell ref="C47:D51"/>
    <x:mergeCell ref="E46:F46"/>
    <x:mergeCell ref="E47:F51"/>
    <x:mergeCell ref="G46:H46"/>
    <x:mergeCell ref="G47:H51"/>
    <x:mergeCell ref="I46:J46"/>
    <x:mergeCell ref="I47:J51"/>
    <x:mergeCell ref="K46:L46"/>
    <x:mergeCell ref="K47:L51"/>
    <x:mergeCell ref="M46:N46"/>
    <x:mergeCell ref="M47:N51"/>
  </x:mergeCells>
  <x:pageMargins left="0.7" right="0.7" top="0.75" bottom="0.75" header="0.3" footer="0.3"/>
</x:worksheet>
</file>

<file path=xl/worksheets/sheet4.xml><?xml version="1.0" encoding="utf-8"?>
<x:worksheet xmlns:x="http://schemas.openxmlformats.org/spreadsheetml/2006/main">
  <x:sheetPr>
    <x:tabColor rgb="FF7B8794"/>
  </x:sheetPr>
  <x:sheetViews>
    <x:sheetView showGridLines="0" workbookViewId="0">
      <x:pane ySplit="5" topLeftCell="A6" activePane="bottomLeft" state="frozen"/>
    </x:sheetView>
  </x:sheetViews>
  <x:sheetFormatPr defaultRowHeight="15"/>
  <x:cols>
    <x:col min="1" max="1" width="25" hidden="0" customWidth="1"/>
    <x:col min="2" max="2" width="65" hidden="0" customWidth="1"/>
    <x:col min="3" max="3" width="65" hidden="0" customWidth="1"/>
  </x:cols>
  <x:sheetData>
    <x:row r="2">
      <x:c r="A2" s="1" t="str">
        <x:v>Plain-English glossary</x:v>
      </x:c>
    </x:row>
    <x:row r="3">
      <x:c r="A3" s="2" t="str">
        <x:v>You are not expected to memorise these words. Look here whenever the plan uses one you do not know.</x:v>
      </x:c>
    </x:row>
    <x:row r="5">
      <x:c r="A5" s="225" t="str">
        <x:v>Term</x:v>
      </x:c>
      <x:c r="B5" s="225" t="str">
        <x:v>What it means</x:v>
      </x:c>
      <x:c r="C5" s="225" t="str">
        <x:v>Why you care</x:v>
      </x:c>
    </x:row>
    <x:row r="6" ht="48" customHeight="1">
      <x:c r="A6" s="232" t="str">
        <x:v>AI handoff</x:v>
      </x:c>
      <x:c r="B6" s="232" t="str">
        <x:v>The morning prompt pasted into Codex so it can do technical work while you are unavailable.</x:v>
      </x:c>
      <x:c r="C6" s="232" t="str">
        <x:v>It turns a few morning minutes into a prepared evening test.</x:v>
      </x:c>
    </x:row>
    <x:row r="7" ht="48" customHeight="1">
      <x:c r="A7" s="98" t="str">
        <x:v>Scope freeze</x:v>
      </x:c>
      <x:c r="B7" s="98" t="str">
        <x:v>No new launch features; only work needed to make the agreed product safe and honest.</x:v>
      </x:c>
      <x:c r="C7" s="98" t="str">
        <x:v>It protects the target from nonessential ideas.</x:v>
      </x:c>
    </x:row>
    <x:row r="8" ht="48" customHeight="1">
      <x:c r="A8" s="98" t="str">
        <x:v>QA</x:v>
      </x:c>
      <x:c r="B8" s="98" t="str">
        <x:v>Deliberately testing the product and recording what passed or failed.</x:v>
      </x:c>
      <x:c r="C8" s="98" t="str">
        <x:v>It prevents customers discovering serious problems after paying.</x:v>
      </x:c>
    </x:row>
    <x:row r="9" ht="48" customHeight="1">
      <x:c r="A9" s="98" t="str">
        <x:v>Smoke test</x:v>
      </x:c>
      <x:c r="B9" s="98" t="str">
        <x:v>A short critical-path test: sign in, open, write, save, and export.</x:v>
      </x:c>
      <x:c r="C9" s="98" t="str">
        <x:v>If it fails, deeper work pauses until basics are repaired.</x:v>
      </x:c>
    </x:row>
    <x:row r="10" ht="48" customHeight="1">
      <x:c r="A10" s="98" t="str">
        <x:v>Production</x:v>
      </x:c>
      <x:c r="B10" s="98" t="str">
        <x:v>The live YOW service and real customer data.</x:v>
      </x:c>
      <x:c r="C10" s="98" t="str">
        <x:v>Actions here can affect real people.</x:v>
      </x:c>
    </x:row>
    <x:row r="11" ht="48" customHeight="1">
      <x:c r="A11" s="98" t="str">
        <x:v>Database migration</x:v>
      </x:c>
      <x:c r="B11" s="98" t="str">
        <x:v>A versioned instruction changing database structure, functions, or security rules.</x:v>
      </x:c>
      <x:c r="C11" s="98" t="str">
        <x:v>It must be verified and reversible.</x:v>
      </x:c>
    </x:row>
    <x:row r="12" ht="48" customHeight="1">
      <x:c r="A12" s="98" t="str">
        <x:v>RLS</x:v>
      </x:c>
      <x:c r="B12" s="98" t="str">
        <x:v>Database rules deciding which user may read or change each row.</x:v>
      </x:c>
      <x:c r="C12" s="98" t="str">
        <x:v>It prevents customers seeing each other's data.</x:v>
      </x:c>
    </x:row>
    <x:row r="13" ht="48" customHeight="1">
      <x:c r="A13" s="98" t="str">
        <x:v>Stripe test mode</x:v>
      </x:c>
      <x:c r="B13" s="98" t="str">
        <x:v>A safe Stripe environment using pretend cards and no real money.</x:v>
      </x:c>
      <x:c r="C13" s="98" t="str">
        <x:v>Payment behaviour must pass here before checkout is live.</x:v>
      </x:c>
    </x:row>
    <x:row r="14" ht="48" customHeight="1">
      <x:c r="A14" s="98" t="str">
        <x:v>Webhook</x:v>
      </x:c>
      <x:c r="B14" s="98" t="str">
        <x:v>A signed message Stripe sends YOW after a payment event.</x:v>
      </x:c>
      <x:c r="C14" s="98" t="str">
        <x:v>It changes paid access.</x:v>
      </x:c>
    </x:row>
    <x:row r="15" ht="48" customHeight="1">
      <x:c r="A15" s="98" t="str">
        <x:v>Entitlement</x:v>
      </x:c>
      <x:c r="B15" s="98" t="str">
        <x:v>The server-controlled record of features a plan allows.</x:v>
      </x:c>
      <x:c r="C15" s="98" t="str">
        <x:v>Customers receive exactly what they paid for.</x:v>
      </x:c>
    </x:row>
    <x:row r="16" ht="48" customHeight="1">
      <x:c r="A16" s="98" t="str">
        <x:v>Release candidate</x:v>
      </x:c>
      <x:c r="B16" s="98" t="str">
        <x:v>The exact build proposed for launch after feature work stops.</x:v>
      </x:c>
      <x:c r="C16" s="98" t="str">
        <x:v>Only blockers should alter it.</x:v>
      </x:c>
    </x:row>
    <x:row r="17" ht="48" customHeight="1">
      <x:c r="A17" s="98" t="str">
        <x:v>Hard gate</x:v>
      </x:c>
      <x:c r="B17" s="98" t="str">
        <x:v>A safety or business check that must pass before launch proceeds.</x:v>
      </x:c>
      <x:c r="C17" s="98" t="str">
        <x:v>Failure moves the date; it is never skipped.</x:v>
      </x:c>
    </x:row>
    <x:row r="18" ht="48" customHeight="1">
      <x:c r="A18" s="98" t="str">
        <x:v>Rollback</x:v>
      </x:c>
      <x:c r="B18" s="98" t="str">
        <x:v>Return production to its previous known-good version.</x:v>
      </x:c>
      <x:c r="C18" s="98" t="str">
        <x:v>It is the safe exit when launch differs from rehearsal.</x:v>
      </x:c>
    </x:row>
    <x:row r="19" ht="48" customHeight="1">
      <x:c r="A19" s="98" t="str">
        <x:v>Quiet release</x:v>
      </x:c>
      <x:c r="B19" s="98" t="str">
        <x:v>Checkout is live but ads are not; one real purchase proves the full path.</x:v>
      </x:c>
      <x:c r="C19" s="98" t="str">
        <x:v>It catches production-only problems before traffic arrives.</x:v>
      </x:c>
    </x:row>
    <x:row r="20" ht="48" customHeight="1">
      <x:c r="A20" s="98" t="str">
        <x:v>Public launch</x:v>
      </x:c>
      <x:c r="B20" s="98" t="str">
        <x:v>The healthy product is announced and marketing begins.</x:v>
      </x:c>
      <x:c r="C20" s="98" t="str">
        <x:v>People seeing an ad can buy immediately.</x:v>
      </x:c>
    </x:row>
    <x:row r="21" ht="48" customHeight="1">
      <x:c r="A21" s="98" t="str">
        <x:v>Beta closure</x:v>
      </x:c>
      <x:c r="B21" s="98" t="str">
        <x:v>Stop offering Beta to new people while preserving existing testers' agreed access and exports.</x:v>
      </x:c>
      <x:c r="C21" s="98" t="str">
        <x:v>It changes the offer without abruptly locking people out.</x:v>
      </x:c>
    </x:row>
    <x:row r="22" ht="48" customHeight="1">
      <x:c r="A22" s="233" t="str">
        <x:v>Evidence</x:v>
      </x:c>
      <x:c r="B22" s="233" t="str">
        <x:v>A result, screenshot, log, file, or observation showing what happened.</x:v>
      </x:c>
      <x:c r="C22" s="233" t="str">
        <x:v>Done means proven, not attempted.</x:v>
      </x:c>
    </x:row>
  </x:sheetData>
  <x:mergeCells>
    <x:mergeCell ref="A2:C2"/>
    <x:mergeCell ref="A3:C3"/>
  </x:mergeCells>
  <x:pageMargins left="0.7" right="0.7" top="0.75" bottom="0.75" header="0.3" footer="0.3"/>
</x:worksheet>
</file>
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960028edfa416d" /></Relationships>
</file>

<file path=xl/workbook.xml><?xml version="1.0" encoding="utf-8"?>
<x:workbook xmlns:x="http://schemas.openxmlformats.org/spreadsheetml/2006/main">
  <x:sheets>
    <x:sheet xmlns:r="http://schemas.openxmlformats.org/officeDocument/2006/relationships" name="Start Here" sheetId="1" r:id="Ra624d212c28e4ed4"/>
    <x:sheet xmlns:r="http://schemas.openxmlformats.org/officeDocument/2006/relationships" name="Daily Guide" sheetId="2" r:id="R6d82ef0e1b4e48ef"/>
    <x:sheet xmlns:r="http://schemas.openxmlformats.org/officeDocument/2006/relationships" name="Calendar" sheetId="3" r:id="R29fb512f480e4e9a"/>
    <x:sheet xmlns:r="http://schemas.openxmlformats.org/officeDocument/2006/relationships" name="Glossary" sheetId="4" r:id="Rced2965a0a554f6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d d mmm"/>
  </x:numFmts>
  <x:fonts count="9">
    <x:font>
      <x:sz val="11"/>
      <x:name val="Carlito"/>
    </x:font>
    <x:font>
      <x:b/>
      <x:sz val="16"/>
      <x:color rgb="FF17324D"/>
      <x:name val="Arial"/>
    </x:font>
    <x:font>
      <x:i/>
      <x:sz val="10"/>
      <x:color rgb="FF566573"/>
      <x:name val="Arial"/>
    </x:font>
    <x:font>
      <x:b/>
      <x:sz val="11"/>
      <x:color rgb="FFFFFFFF"/>
      <x:name val="Arial"/>
    </x:font>
    <x:font>
      <x:sz val="10"/>
      <x:color rgb="FF243442"/>
      <x:name val="Arial"/>
    </x:font>
    <x:font>
      <x:b/>
      <x:sz val="10"/>
      <x:color rgb="FF17324D"/>
      <x:name val="Arial"/>
    </x:font>
    <x:font>
      <x:b/>
      <x:sz val="11"/>
      <x:color rgb="FF17324D"/>
      <x:name val="Arial"/>
    </x:font>
    <x:font>
      <x:sz val="10"/>
      <x:color rgb="FF5A4625"/>
      <x:name val="Arial"/>
    </x:font>
    <x:font>
      <x:b/>
      <x:sz val="10"/>
      <x:color rgb="FFFFFFFF"/>
      <x:name val="Arial"/>
    </x:font>
  </x:fonts>
  <x:fills count="17">
    <x:fill>
      <x:patternFill patternType="none"/>
    </x:fill>
    <x:fill>
      <x:patternFill patternType="gray125"/>
    </x:fill>
    <x:fill>
      <x:patternFill patternType="solid">
        <x:fgColor rgb="FF17324D"/>
      </x:patternFill>
    </x:fill>
    <x:fill>
      <x:patternFill patternType="solid">
        <x:fgColor rgb="FFF7F9FA"/>
      </x:patternFill>
    </x:fill>
    <x:fill>
      <x:patternFill patternType="solid">
        <x:fgColor rgb="FFF3F6F8"/>
      </x:patternFill>
    </x:fill>
    <x:fill>
      <x:patternFill patternType="solid">
        <x:fgColor rgb="FFFFF7E6"/>
      </x:patternFill>
    </x:fill>
    <x:fill>
      <x:patternFill patternType="solid">
        <x:fgColor rgb="FFDCEAF7"/>
      </x:patternFill>
    </x:fill>
    <x:fill>
      <x:patternFill patternType="solid">
        <x:fgColor rgb="FFFCE8E6"/>
      </x:patternFill>
    </x:fill>
    <x:fill>
      <x:patternFill patternType="solid">
        <x:fgColor rgb="FFFDF1D5"/>
      </x:patternFill>
    </x:fill>
    <x:fill>
      <x:patternFill patternType="solid">
        <x:fgColor rgb="FFE9E1F5"/>
      </x:patternFill>
    </x:fill>
    <x:fill>
      <x:patternFill patternType="solid">
        <x:fgColor rgb="FFE3E8F4"/>
      </x:patternFill>
    </x:fill>
    <x:fill>
      <x:patternFill patternType="solid">
        <x:fgColor rgb="FFDFF1E8"/>
      </x:patternFill>
    </x:fill>
    <x:fill>
      <x:patternFill patternType="solid">
        <x:fgColor rgb="FFF4E4ED"/>
      </x:patternFill>
    </x:fill>
    <x:fill>
      <x:patternFill patternType="solid">
        <x:fgColor rgb="FFE0F0EF"/>
      </x:patternFill>
    </x:fill>
    <x:fill>
      <x:patternFill patternType="solid">
        <x:fgColor rgb="FFD4E8E6"/>
      </x:patternFill>
    </x:fill>
    <x:fill>
      <x:patternFill patternType="solid">
        <x:fgColor rgb="FFB9DED7"/>
      </x:patternFill>
    </x:fill>
    <x:fill>
      <x:patternFill patternType="solid">
        <x:fgColor rgb="FFFFFFFF"/>
      </x:patternFill>
    </x:fill>
  </x:fills>
  <x:borders count="30">
    <x:border/>
    <x:border>
      <x:left style="thin">
        <x:color rgb="FFC9D3DC"/>
      </x:left>
      <x:top style="thin">
        <x:color rgb="FFC9D3DC"/>
      </x:top>
    </x:border>
    <x:border>
      <x:top style="thin">
        <x:color rgb="FFC9D3DC"/>
      </x:top>
    </x:border>
    <x:border>
      <x:right style="thin">
        <x:color rgb="FFC9D3DC"/>
      </x:right>
      <x:top style="thin">
        <x:color rgb="FFC9D3DC"/>
      </x:top>
    </x:border>
    <x:border>
      <x:left style="thin">
        <x:color rgb="FFC9D3DC"/>
      </x:left>
    </x:border>
    <x:border>
      <x:right style="thin">
        <x:color rgb="FFC9D3DC"/>
      </x:right>
    </x:border>
    <x:border>
      <x:left style="thin">
        <x:color rgb="FFC9D3DC"/>
      </x:left>
      <x:bottom style="thin">
        <x:color rgb="FFC9D3DC"/>
      </x:bottom>
    </x:border>
    <x:border>
      <x:bottom style="thin">
        <x:color rgb="FFC9D3DC"/>
      </x:bottom>
    </x:border>
    <x:border>
      <x:right style="thin">
        <x:color rgb="FFC9D3DC"/>
      </x:right>
      <x:bottom style="thin">
        <x:color rgb="FFC9D3DC"/>
      </x:bottom>
    </x:border>
    <x:border>
      <x:left style="thin">
        <x:color rgb="FFE8C980"/>
      </x:left>
      <x:top style="thin">
        <x:color rgb="FFE8C980"/>
      </x:top>
    </x:border>
    <x:border>
      <x:top style="thin">
        <x:color rgb="FFE8C980"/>
      </x:top>
    </x:border>
    <x:border>
      <x:right style="thin">
        <x:color rgb="FFE8C980"/>
      </x:right>
      <x:top style="thin">
        <x:color rgb="FFE8C980"/>
      </x:top>
    </x:border>
    <x:border>
      <x:left style="thin">
        <x:color rgb="FFE8C980"/>
      </x:left>
    </x:border>
    <x:border>
      <x:right style="thin">
        <x:color rgb="FFE8C980"/>
      </x:right>
    </x:border>
    <x:border>
      <x:left style="thin">
        <x:color rgb="FFE8C980"/>
      </x:left>
      <x:bottom style="thin">
        <x:color rgb="FFE8C980"/>
      </x:bottom>
    </x:border>
    <x:border>
      <x:bottom style="thin">
        <x:color rgb="FFE8C980"/>
      </x:bottom>
    </x:border>
    <x:border>
      <x:right style="thin">
        <x:color rgb="FFE8C980"/>
      </x:right>
      <x:bottom style="thin">
        <x:color rgb="FFE8C980"/>
      </x:bottom>
    </x:border>
    <x:border>
      <x:right style="thin">
        <x:color rgb="FFFFFFFF"/>
      </x:right>
    </x:border>
    <x:border>
      <x:left style="thin">
        <x:color rgb="FFFFFFFF"/>
      </x:left>
      <x:right style="thin">
        <x:color rgb="FFFFFFFF"/>
      </x:right>
    </x:border>
    <x:border>
      <x:left style="thin">
        <x:color rgb="FFFFFFFF"/>
      </x:left>
    </x:border>
    <x:border>
      <x:right style="thin">
        <x:color rgb="FFFFFFFF"/>
      </x:right>
      <x:bottom style="thin">
        <x:color rgb="FFDDE3E8"/>
      </x:bottom>
    </x:border>
    <x:border>
      <x:left style="thin">
        <x:color rgb="FFFFFFFF"/>
      </x:left>
      <x:right style="thin">
        <x:color rgb="FFFFFFFF"/>
      </x:right>
      <x:bottom style="thin">
        <x:color rgb="FFDDE3E8"/>
      </x:bottom>
    </x:border>
    <x:border>
      <x:left style="thin">
        <x:color rgb="FFFFFFFF"/>
      </x:left>
      <x:bottom style="thin">
        <x:color rgb="FFDDE3E8"/>
      </x:bottom>
    </x:border>
    <x:border>
      <x:top style="thin">
        <x:color rgb="FFDDE3E8"/>
      </x:top>
      <x:bottom style="thin">
        <x:color rgb="FFDDE3E8"/>
      </x:bottom>
    </x:border>
    <x:border>
      <x:top style="thin">
        <x:color rgb="FFDDE3E8"/>
      </x:top>
      <x:bottom style="thin">
        <x:color rgb="FFAAB7C2"/>
      </x:bottom>
    </x:border>
    <x:border>
      <x:left style="thin">
        <x:color rgb="FFAAB7C2"/>
      </x:left>
      <x:top style="thin">
        <x:color rgb="FFAAB7C2"/>
      </x:top>
      <x:bottom style="thin">
        <x:color rgb="FFAAB7C2"/>
      </x:bottom>
    </x:border>
    <x:border>
      <x:top style="thin">
        <x:color rgb="FFAAB7C2"/>
      </x:top>
      <x:bottom style="thin">
        <x:color rgb="FFAAB7C2"/>
      </x:bottom>
    </x:border>
    <x:border>
      <x:right style="thin">
        <x:color rgb="FFAAB7C2"/>
      </x:right>
      <x:top style="thin">
        <x:color rgb="FFAAB7C2"/>
      </x:top>
      <x:bottom style="thin">
        <x:color rgb="FFAAB7C2"/>
      </x:bottom>
    </x:border>
    <x:border>
      <x:bottom style="thin">
        <x:color rgb="FFDDE3E8"/>
      </x:bottom>
    </x:border>
    <x:border>
      <x:top style="thin">
        <x:color rgb="FFDDE3E8"/>
      </x:top>
    </x:border>
  </x:borders>
  <x:cellStyleXfs count="1">
    <x:xf numFmtId="0" fontId="0" fillId="0" borderId="0"/>
  </x:cellStyleXfs>
  <x:cellXfs count="263">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8" xfId="0" applyNumberFormat="1" applyFont="1" applyFill="1" applyBorder="1"/>
    <x:xf numFmtId="0" fontId="4" fillId="3" borderId="1" xfId="0" applyNumberFormat="1" applyFont="1" applyFill="1" applyBorder="1" applyAlignment="1">
      <x:alignment wrapText="1"/>
    </x:xf>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4"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8" xfId="0" applyNumberFormat="1" applyFont="1" applyFill="1" applyBorder="1" applyAlignment="1">
      <x:alignment wrapText="1"/>
    </x:xf>
    <x:xf numFmtId="0" fontId="4" fillId="3" borderId="1" xfId="0" applyNumberFormat="1" applyFont="1" applyFill="1" applyBorder="1" applyAlignment="1">
      <x:alignment vertical="top" wrapText="1"/>
    </x:xf>
    <x:xf numFmtId="0" fontId="4" fillId="3"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4" fillId="3" borderId="4"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3" borderId="8" xfId="0" applyNumberFormat="1" applyFont="1" applyFill="1" applyBorder="1" applyAlignment="1">
      <x:alignment vertical="top" wrapText="1"/>
    </x:xf>
    <x:xf numFmtId="200" fontId="0" fillId="0"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200" fontId="6" fillId="0" borderId="0" xfId="0" applyNumberFormat="1" applyFont="1" applyFill="1" applyBorder="1"/>
    <x:xf numFmtId="0" fontId="5" fillId="4" borderId="0" xfId="0" applyNumberFormat="1" applyFont="1" applyFill="1" applyBorder="1"/>
    <x:xf numFmtId="0" fontId="6" fillId="4" borderId="0" xfId="0" applyNumberFormat="1" applyFont="1" applyFill="1" applyBorder="1"/>
    <x:xf numFmtId="200" fontId="6" fillId="4" borderId="0" xfId="0" applyNumberFormat="1" applyFont="1" applyFill="1" applyBorder="1"/>
    <x:xf numFmtId="0" fontId="5" fillId="4" borderId="1" xfId="0" applyNumberFormat="1" applyFont="1" applyFill="1" applyBorder="1"/>
    <x:xf numFmtId="0" fontId="6" fillId="4" borderId="3" xfId="0" applyNumberFormat="1" applyFont="1" applyFill="1" applyBorder="1"/>
    <x:xf numFmtId="0" fontId="5" fillId="4" borderId="4" xfId="0" applyNumberFormat="1" applyFont="1" applyFill="1" applyBorder="1"/>
    <x:xf numFmtId="0" fontId="6" fillId="4" borderId="5" xfId="0" applyNumberFormat="1" applyFont="1" applyFill="1" applyBorder="1"/>
    <x:xf numFmtId="0" fontId="5" fillId="4" borderId="6" xfId="0" applyNumberFormat="1" applyFont="1" applyFill="1" applyBorder="1"/>
    <x:xf numFmtId="200" fontId="6" fillId="4" borderId="8"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7" fillId="5" borderId="9" xfId="0" applyNumberFormat="1" applyFont="1" applyFill="1" applyBorder="1"/>
    <x:xf numFmtId="0" fontId="7" fillId="5" borderId="10" xfId="0" applyNumberFormat="1" applyFont="1" applyFill="1" applyBorder="1"/>
    <x:xf numFmtId="0" fontId="7" fillId="5" borderId="11" xfId="0" applyNumberFormat="1" applyFont="1" applyFill="1" applyBorder="1"/>
    <x:xf numFmtId="0" fontId="7" fillId="5" borderId="12" xfId="0" applyNumberFormat="1" applyFont="1" applyFill="1" applyBorder="1"/>
    <x:xf numFmtId="0" fontId="7" fillId="5" borderId="13" xfId="0" applyNumberFormat="1" applyFont="1" applyFill="1" applyBorder="1"/>
    <x:xf numFmtId="0" fontId="7" fillId="5" borderId="14" xfId="0" applyNumberFormat="1" applyFont="1" applyFill="1" applyBorder="1"/>
    <x:xf numFmtId="0" fontId="7" fillId="5" borderId="15" xfId="0" applyNumberFormat="1" applyFont="1" applyFill="1" applyBorder="1"/>
    <x:xf numFmtId="0" fontId="7" fillId="5" borderId="16" xfId="0" applyNumberFormat="1" applyFont="1" applyFill="1" applyBorder="1"/>
    <x:xf numFmtId="0" fontId="7" fillId="5" borderId="9" xfId="0" applyNumberFormat="1" applyFont="1" applyFill="1" applyBorder="1" applyAlignment="1">
      <x:alignment wrapText="1"/>
    </x:xf>
    <x:xf numFmtId="0" fontId="7" fillId="5" borderId="10" xfId="0" applyNumberFormat="1" applyFont="1" applyFill="1" applyBorder="1" applyAlignment="1">
      <x:alignment wrapText="1"/>
    </x:xf>
    <x:xf numFmtId="0" fontId="7" fillId="5" borderId="11" xfId="0" applyNumberFormat="1" applyFont="1" applyFill="1" applyBorder="1" applyAlignment="1">
      <x:alignment wrapText="1"/>
    </x:xf>
    <x:xf numFmtId="0" fontId="7" fillId="5" borderId="12"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13" xfId="0" applyNumberFormat="1" applyFont="1" applyFill="1" applyBorder="1" applyAlignment="1">
      <x:alignment wrapText="1"/>
    </x:xf>
    <x:xf numFmtId="0" fontId="7" fillId="5" borderId="14" xfId="0" applyNumberFormat="1" applyFont="1" applyFill="1" applyBorder="1" applyAlignment="1">
      <x:alignment wrapText="1"/>
    </x:xf>
    <x:xf numFmtId="0" fontId="7" fillId="5" borderId="15" xfId="0" applyNumberFormat="1" applyFont="1" applyFill="1" applyBorder="1" applyAlignment="1">
      <x:alignment wrapText="1"/>
    </x:xf>
    <x:xf numFmtId="0" fontId="7" fillId="5" borderId="16" xfId="0" applyNumberFormat="1" applyFont="1" applyFill="1" applyBorder="1" applyAlignment="1">
      <x:alignment wrapText="1"/>
    </x:xf>
    <x:xf numFmtId="0" fontId="7" fillId="5" borderId="9" xfId="0" applyNumberFormat="1" applyFont="1" applyFill="1" applyBorder="1" applyAlignment="1">
      <x:alignment vertical="center" wrapText="1"/>
    </x:xf>
    <x:xf numFmtId="0" fontId="7" fillId="5" borderId="10" xfId="0" applyNumberFormat="1" applyFont="1" applyFill="1" applyBorder="1" applyAlignment="1">
      <x:alignment vertical="center" wrapText="1"/>
    </x:xf>
    <x:xf numFmtId="0" fontId="7" fillId="5" borderId="11" xfId="0" applyNumberFormat="1" applyFont="1" applyFill="1" applyBorder="1" applyAlignment="1">
      <x:alignment vertical="center" wrapText="1"/>
    </x:xf>
    <x:xf numFmtId="0" fontId="7" fillId="5" borderId="12" xfId="0" applyNumberFormat="1" applyFont="1" applyFill="1" applyBorder="1" applyAlignment="1">
      <x:alignment vertical="center" wrapText="1"/>
    </x:xf>
    <x:xf numFmtId="0" fontId="7" fillId="5" borderId="0" xfId="0" applyNumberFormat="1" applyFont="1" applyFill="1" applyBorder="1" applyAlignment="1">
      <x:alignment vertical="center" wrapText="1"/>
    </x:xf>
    <x:xf numFmtId="0" fontId="7" fillId="5" borderId="13" xfId="0" applyNumberFormat="1" applyFont="1" applyFill="1" applyBorder="1" applyAlignment="1">
      <x:alignment vertical="center" wrapText="1"/>
    </x:xf>
    <x:xf numFmtId="0" fontId="7" fillId="5" borderId="14" xfId="0" applyNumberFormat="1" applyFont="1" applyFill="1" applyBorder="1" applyAlignment="1">
      <x:alignment vertical="center" wrapText="1"/>
    </x:xf>
    <x:xf numFmtId="0" fontId="7" fillId="5" borderId="15" xfId="0" applyNumberFormat="1" applyFont="1" applyFill="1" applyBorder="1" applyAlignment="1">
      <x:alignment vertical="center" wrapText="1"/>
    </x:xf>
    <x:xf numFmtId="0" fontId="7" fillId="5" borderId="16" xfId="0" applyNumberFormat="1" applyFont="1" applyFill="1" applyBorder="1" applyAlignment="1">
      <x:alignment vertical="center" wrapText="1"/>
    </x:xf>
    <x:xf numFmtId="201" fontId="0" fillId="0" borderId="0" xfId="0" applyNumberFormat="1" applyFont="1" applyFill="1" applyBorder="1"/>
    <x:xf numFmtId="0" fontId="4" fillId="0" borderId="0" xfId="0" applyNumberFormat="1" applyFont="1" applyFill="1" applyBorder="1"/>
    <x:xf numFmtId="201" fontId="4" fillId="0" borderId="0" xfId="0" applyNumberFormat="1" applyFont="1" applyFill="1" applyBorder="1"/>
    <x:xf numFmtId="0" fontId="4" fillId="2" borderId="0" xfId="0" applyNumberFormat="1" applyFont="1" applyFill="1" applyBorder="1"/>
    <x:xf numFmtId="0" fontId="8" fillId="2" borderId="0" xfId="0" applyNumberFormat="1" applyFont="1" applyFill="1" applyBorder="1"/>
    <x:xf numFmtId="0" fontId="8" fillId="2" borderId="17" xfId="0" applyNumberFormat="1" applyFont="1" applyFill="1" applyBorder="1"/>
    <x:xf numFmtId="0" fontId="8" fillId="2" borderId="18" xfId="0" applyNumberFormat="1" applyFont="1" applyFill="1" applyBorder="1"/>
    <x:xf numFmtId="0" fontId="8" fillId="2" borderId="19" xfId="0" applyNumberFormat="1" applyFont="1" applyFill="1" applyBorder="1"/>
    <x:xf numFmtId="0" fontId="8" fillId="2" borderId="17" xfId="0" applyNumberFormat="1" applyFont="1" applyFill="1" applyBorder="1" applyAlignment="1">
      <x:alignment wrapText="1"/>
    </x:xf>
    <x:xf numFmtId="0" fontId="8" fillId="2" borderId="18" xfId="0" applyNumberFormat="1" applyFont="1" applyFill="1" applyBorder="1" applyAlignment="1">
      <x:alignment wrapText="1"/>
    </x:xf>
    <x:xf numFmtId="0" fontId="8" fillId="2" borderId="19" xfId="0" applyNumberFormat="1" applyFont="1" applyFill="1" applyBorder="1" applyAlignment="1">
      <x:alignment wrapText="1"/>
    </x:xf>
    <x:xf numFmtId="0" fontId="8" fillId="2" borderId="17" xfId="0" applyNumberFormat="1" applyFont="1" applyFill="1" applyBorder="1" applyAlignment="1">
      <x:alignment horizontal="center" wrapText="1"/>
    </x:xf>
    <x:xf numFmtId="0" fontId="8" fillId="2" borderId="18" xfId="0" applyNumberFormat="1" applyFont="1" applyFill="1" applyBorder="1" applyAlignment="1">
      <x:alignment horizontal="center" wrapText="1"/>
    </x:xf>
    <x:xf numFmtId="0" fontId="8" fillId="2" borderId="19" xfId="0" applyNumberFormat="1" applyFont="1" applyFill="1" applyBorder="1" applyAlignment="1">
      <x:alignment horizontal="center" wrapText="1"/>
    </x:xf>
    <x:xf numFmtId="0" fontId="8" fillId="2" borderId="17" xfId="0" applyNumberFormat="1" applyFont="1" applyFill="1" applyBorder="1" applyAlignment="1">
      <x:alignment horizontal="center" vertical="center" wrapText="1"/>
    </x:xf>
    <x:xf numFmtId="0" fontId="8" fillId="2" borderId="18" xfId="0" applyNumberFormat="1" applyFont="1" applyFill="1" applyBorder="1" applyAlignment="1">
      <x:alignment horizontal="center" vertical="center" wrapText="1"/>
    </x:xf>
    <x:xf numFmtId="0" fontId="8" fillId="2" borderId="19" xfId="0" applyNumberFormat="1" applyFont="1" applyFill="1" applyBorder="1" applyAlignment="1">
      <x:alignment horizontal="center" vertical="center" wrapText="1"/>
    </x:xf>
    <x:xf numFmtId="201" fontId="4"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x:xf>
    <x:xf numFmtId="0" fontId="4" fillId="6" borderId="0" xfId="0" applyNumberFormat="1" applyFont="1" applyFill="1" applyBorder="1" applyAlignment="1">
      <x:alignment vertical="top"/>
    </x:xf>
    <x:xf numFmtId="0" fontId="4" fillId="7" borderId="0" xfId="0" applyNumberFormat="1" applyFont="1" applyFill="1" applyBorder="1" applyAlignment="1">
      <x:alignment vertical="top"/>
    </x:xf>
    <x:xf numFmtId="0" fontId="4" fillId="8" borderId="0" xfId="0" applyNumberFormat="1" applyFont="1" applyFill="1" applyBorder="1" applyAlignment="1">
      <x:alignment vertical="top"/>
    </x:xf>
    <x:xf numFmtId="0" fontId="4" fillId="9" borderId="0" xfId="0" applyNumberFormat="1" applyFont="1" applyFill="1" applyBorder="1" applyAlignment="1">
      <x:alignment vertical="top"/>
    </x:xf>
    <x:xf numFmtId="0" fontId="4" fillId="10" borderId="0" xfId="0" applyNumberFormat="1" applyFont="1" applyFill="1" applyBorder="1" applyAlignment="1">
      <x:alignment vertical="top"/>
    </x:xf>
    <x:xf numFmtId="0" fontId="4" fillId="11" borderId="0" xfId="0" applyNumberFormat="1" applyFont="1" applyFill="1" applyBorder="1" applyAlignment="1">
      <x:alignment vertical="top"/>
    </x:xf>
    <x:xf numFmtId="0" fontId="4" fillId="12" borderId="0" xfId="0" applyNumberFormat="1" applyFont="1" applyFill="1" applyBorder="1" applyAlignment="1">
      <x:alignment vertical="top"/>
    </x:xf>
    <x:xf numFmtId="0" fontId="4" fillId="13" borderId="0" xfId="0" applyNumberFormat="1" applyFont="1" applyFill="1" applyBorder="1" applyAlignment="1">
      <x:alignment vertical="top"/>
    </x:xf>
    <x:xf numFmtId="0" fontId="4" fillId="14" borderId="0" xfId="0" applyNumberFormat="1" applyFont="1" applyFill="1" applyBorder="1" applyAlignment="1">
      <x:alignment vertical="top"/>
    </x:xf>
    <x:xf numFmtId="0" fontId="4" fillId="15" borderId="0" xfId="0" applyNumberFormat="1" applyFont="1" applyFill="1" applyBorder="1" applyAlignment="1">
      <x:alignment vertical="top"/>
    </x:xf>
    <x:xf numFmtId="0" fontId="8" fillId="2" borderId="20" xfId="0" applyNumberFormat="1" applyFont="1" applyFill="1" applyBorder="1" applyAlignment="1">
      <x:alignment horizontal="center" vertical="center" wrapText="1"/>
    </x:xf>
    <x:xf numFmtId="0" fontId="8" fillId="2" borderId="21" xfId="0" applyNumberFormat="1" applyFont="1" applyFill="1" applyBorder="1" applyAlignment="1">
      <x:alignment horizontal="center" vertical="center" wrapText="1"/>
    </x:xf>
    <x:xf numFmtId="0" fontId="8" fillId="2" borderId="22" xfId="0" applyNumberFormat="1" applyFont="1" applyFill="1" applyBorder="1" applyAlignment="1">
      <x:alignment horizontal="center" vertical="center" wrapText="1"/>
    </x:xf>
    <x:xf numFmtId="201" fontId="4" fillId="0" borderId="23" xfId="0" applyNumberFormat="1" applyFont="1" applyFill="1" applyBorder="1" applyAlignment="1">
      <x:alignment vertical="top"/>
    </x:xf>
    <x:xf numFmtId="0" fontId="4" fillId="0" borderId="23" xfId="0" applyNumberFormat="1" applyFont="1" applyFill="1" applyBorder="1" applyAlignment="1">
      <x:alignment vertical="top"/>
    </x:xf>
    <x:xf numFmtId="0" fontId="4" fillId="6" borderId="23" xfId="0" applyNumberFormat="1" applyFont="1" applyFill="1" applyBorder="1" applyAlignment="1">
      <x:alignment vertical="top"/>
    </x:xf>
    <x:xf numFmtId="0" fontId="4" fillId="0" borderId="23" xfId="0" applyNumberFormat="1" applyFont="1" applyFill="1" applyBorder="1" applyAlignment="1">
      <x:alignment vertical="top" wrapText="1"/>
    </x:xf>
    <x:xf numFmtId="0" fontId="4" fillId="0" borderId="23" xfId="0" applyNumberFormat="1" applyFont="1" applyFill="1" applyBorder="1" applyAlignment="1">
      <x:alignment horizontal="center" vertical="top"/>
    </x:xf>
    <x:xf numFmtId="0" fontId="4" fillId="7" borderId="23" xfId="0" applyNumberFormat="1" applyFont="1" applyFill="1" applyBorder="1" applyAlignment="1">
      <x:alignment vertical="top"/>
    </x:xf>
    <x:xf numFmtId="0" fontId="4" fillId="8" borderId="23" xfId="0" applyNumberFormat="1" applyFont="1" applyFill="1" applyBorder="1" applyAlignment="1">
      <x:alignment vertical="top"/>
    </x:xf>
    <x:xf numFmtId="0" fontId="4" fillId="9" borderId="23" xfId="0" applyNumberFormat="1" applyFont="1" applyFill="1" applyBorder="1" applyAlignment="1">
      <x:alignment vertical="top"/>
    </x:xf>
    <x:xf numFmtId="0" fontId="4" fillId="10" borderId="23" xfId="0" applyNumberFormat="1" applyFont="1" applyFill="1" applyBorder="1" applyAlignment="1">
      <x:alignment vertical="top"/>
    </x:xf>
    <x:xf numFmtId="0" fontId="4" fillId="11" borderId="23" xfId="0" applyNumberFormat="1" applyFont="1" applyFill="1" applyBorder="1" applyAlignment="1">
      <x:alignment vertical="top"/>
    </x:xf>
    <x:xf numFmtId="0" fontId="4" fillId="12" borderId="23" xfId="0" applyNumberFormat="1" applyFont="1" applyFill="1" applyBorder="1" applyAlignment="1">
      <x:alignment vertical="top"/>
    </x:xf>
    <x:xf numFmtId="0" fontId="4" fillId="13" borderId="23" xfId="0" applyNumberFormat="1" applyFont="1" applyFill="1" applyBorder="1" applyAlignment="1">
      <x:alignment vertical="top"/>
    </x:xf>
    <x:xf numFmtId="0" fontId="4" fillId="14" borderId="23" xfId="0" applyNumberFormat="1" applyFont="1" applyFill="1" applyBorder="1" applyAlignment="1">
      <x:alignment vertical="top"/>
    </x:xf>
    <x:xf numFmtId="201" fontId="4" fillId="0" borderId="24" xfId="0" applyNumberFormat="1" applyFont="1" applyFill="1" applyBorder="1" applyAlignment="1">
      <x:alignment vertical="top"/>
    </x:xf>
    <x:xf numFmtId="0" fontId="4" fillId="0" borderId="24" xfId="0" applyNumberFormat="1" applyFont="1" applyFill="1" applyBorder="1" applyAlignment="1">
      <x:alignment vertical="top"/>
    </x:xf>
    <x:xf numFmtId="0" fontId="4" fillId="15" borderId="24" xfId="0" applyNumberFormat="1" applyFont="1" applyFill="1" applyBorder="1" applyAlignment="1">
      <x:alignment vertical="top"/>
    </x:xf>
    <x:xf numFmtId="0" fontId="4" fillId="0" borderId="24" xfId="0" applyNumberFormat="1" applyFont="1" applyFill="1" applyBorder="1" applyAlignment="1">
      <x:alignment vertical="top" wrapText="1"/>
    </x:xf>
    <x:xf numFmtId="0" fontId="4" fillId="0" borderId="24" xfId="0" applyNumberFormat="1" applyFont="1" applyFill="1" applyBorder="1" applyAlignment="1">
      <x:alignment horizontal="center" vertical="top"/>
    </x:xf>
    <x:xf numFmtId="0" fontId="0" fillId="6" borderId="0" xfId="0" applyNumberFormat="1" applyFont="1" applyFill="1" applyBorder="1"/>
    <x:xf numFmtId="0" fontId="6" fillId="6" borderId="0" xfId="0" applyNumberFormat="1" applyFont="1" applyFill="1" applyBorder="1"/>
    <x:xf numFmtId="0" fontId="6" fillId="6" borderId="25" xfId="0" applyNumberFormat="1" applyFont="1" applyFill="1" applyBorder="1"/>
    <x:xf numFmtId="0" fontId="6" fillId="6" borderId="26" xfId="0" applyNumberFormat="1" applyFont="1" applyFill="1" applyBorder="1"/>
    <x:xf numFmtId="0" fontId="6" fillId="6" borderId="27" xfId="0" applyNumberFormat="1" applyFont="1" applyFill="1" applyBorder="1"/>
    <x:xf numFmtId="0" fontId="6" fillId="6" borderId="25" xfId="0" applyNumberFormat="1" applyFont="1" applyFill="1" applyBorder="1" applyAlignment="1">
      <x:alignment vertical="center"/>
    </x:xf>
    <x:xf numFmtId="0" fontId="6" fillId="6" borderId="26" xfId="0" applyNumberFormat="1" applyFont="1" applyFill="1" applyBorder="1" applyAlignment="1">
      <x:alignment vertical="center"/>
    </x:xf>
    <x:xf numFmtId="0" fontId="6" fillId="6" borderId="27" xfId="0" applyNumberFormat="1" applyFont="1" applyFill="1" applyBorder="1" applyAlignment="1">
      <x:alignment vertical="center"/>
    </x:xf>
    <x:xf numFmtId="0" fontId="8" fillId="2" borderId="25" xfId="0" applyNumberFormat="1" applyFont="1" applyFill="1" applyBorder="1"/>
    <x:xf numFmtId="0" fontId="8" fillId="2" borderId="27" xfId="0" applyNumberFormat="1" applyFont="1" applyFill="1" applyBorder="1"/>
    <x:xf numFmtId="0" fontId="8" fillId="2" borderId="25" xfId="0" applyNumberFormat="1" applyFont="1" applyFill="1" applyBorder="1" applyAlignment="1">
      <x:alignment horizontal="center"/>
    </x:xf>
    <x:xf numFmtId="0" fontId="8" fillId="2" borderId="27" xfId="0" applyNumberFormat="1" applyFont="1" applyFill="1" applyBorder="1" applyAlignment="1">
      <x:alignment horizontal="center"/>
    </x:xf>
    <x:xf numFmtId="0" fontId="8" fillId="2" borderId="25" xfId="0" applyNumberFormat="1" applyFont="1" applyFill="1" applyBorder="1" applyAlignment="1">
      <x:alignment horizontal="center" vertical="center"/>
    </x:xf>
    <x:xf numFmtId="0" fontId="8" fillId="2" borderId="27" xfId="0" applyNumberFormat="1" applyFont="1" applyFill="1" applyBorder="1" applyAlignment="1">
      <x:alignment horizontal="center" vertical="center"/>
    </x:xf>
    <x:xf numFmtId="0" fontId="0" fillId="16" borderId="0" xfId="0" applyNumberFormat="1" applyFont="1" applyFill="1" applyBorder="1"/>
    <x:xf numFmtId="0" fontId="4" fillId="16" borderId="0" xfId="0" applyNumberFormat="1" applyFont="1" applyFill="1" applyBorder="1"/>
    <x:xf numFmtId="0" fontId="4" fillId="16" borderId="1" xfId="0" applyNumberFormat="1" applyFont="1" applyFill="1" applyBorder="1"/>
    <x:xf numFmtId="0" fontId="4" fillId="16" borderId="3" xfId="0" applyNumberFormat="1" applyFont="1" applyFill="1" applyBorder="1"/>
    <x:xf numFmtId="0" fontId="4" fillId="16" borderId="4" xfId="0" applyNumberFormat="1" applyFont="1" applyFill="1" applyBorder="1"/>
    <x:xf numFmtId="0" fontId="4" fillId="16" borderId="5" xfId="0" applyNumberFormat="1" applyFont="1" applyFill="1" applyBorder="1"/>
    <x:xf numFmtId="0" fontId="4" fillId="16" borderId="6" xfId="0" applyNumberFormat="1" applyFont="1" applyFill="1" applyBorder="1"/>
    <x:xf numFmtId="0" fontId="4" fillId="16" borderId="8" xfId="0" applyNumberFormat="1" applyFont="1" applyFill="1" applyBorder="1"/>
    <x:xf numFmtId="0" fontId="4" fillId="16" borderId="1" xfId="0" applyNumberFormat="1" applyFont="1" applyFill="1" applyBorder="1" applyAlignment="1">
      <x:alignment wrapText="1"/>
    </x:xf>
    <x:xf numFmtId="0" fontId="4" fillId="16" borderId="3" xfId="0" applyNumberFormat="1" applyFont="1" applyFill="1" applyBorder="1" applyAlignment="1">
      <x:alignment wrapText="1"/>
    </x:xf>
    <x:xf numFmtId="0" fontId="4" fillId="16" borderId="4" xfId="0" applyNumberFormat="1" applyFont="1" applyFill="1" applyBorder="1" applyAlignment="1">
      <x:alignment wrapText="1"/>
    </x:xf>
    <x:xf numFmtId="0" fontId="4" fillId="16" borderId="5" xfId="0" applyNumberFormat="1" applyFont="1" applyFill="1" applyBorder="1" applyAlignment="1">
      <x:alignment wrapText="1"/>
    </x:xf>
    <x:xf numFmtId="0" fontId="4" fillId="16" borderId="6" xfId="0" applyNumberFormat="1" applyFont="1" applyFill="1" applyBorder="1" applyAlignment="1">
      <x:alignment wrapText="1"/>
    </x:xf>
    <x:xf numFmtId="0" fontId="4" fillId="16" borderId="8" xfId="0" applyNumberFormat="1" applyFont="1" applyFill="1" applyBorder="1" applyAlignment="1">
      <x:alignment wrapText="1"/>
    </x:xf>
    <x:xf numFmtId="0" fontId="4" fillId="16" borderId="1" xfId="0" applyNumberFormat="1" applyFont="1" applyFill="1" applyBorder="1" applyAlignment="1">
      <x:alignment vertical="top" wrapText="1"/>
    </x:xf>
    <x:xf numFmtId="0" fontId="4" fillId="16" borderId="3" xfId="0" applyNumberFormat="1" applyFont="1" applyFill="1" applyBorder="1" applyAlignment="1">
      <x:alignment vertical="top" wrapText="1"/>
    </x:xf>
    <x:xf numFmtId="0" fontId="4" fillId="16" borderId="4" xfId="0" applyNumberFormat="1" applyFont="1" applyFill="1" applyBorder="1" applyAlignment="1">
      <x:alignment vertical="top" wrapText="1"/>
    </x:xf>
    <x:xf numFmtId="0" fontId="4" fillId="16" borderId="5" xfId="0" applyNumberFormat="1" applyFont="1" applyFill="1" applyBorder="1" applyAlignment="1">
      <x:alignment vertical="top" wrapText="1"/>
    </x:xf>
    <x:xf numFmtId="0" fontId="4" fillId="16" borderId="6" xfId="0" applyNumberFormat="1" applyFont="1" applyFill="1" applyBorder="1" applyAlignment="1">
      <x:alignment vertical="top" wrapText="1"/>
    </x:xf>
    <x:xf numFmtId="0" fontId="4" fillId="16" borderId="8"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25" xfId="0" applyNumberFormat="1" applyFont="1" applyFill="1" applyBorder="1"/>
    <x:xf numFmtId="0" fontId="6" fillId="7" borderId="26" xfId="0" applyNumberFormat="1" applyFont="1" applyFill="1" applyBorder="1"/>
    <x:xf numFmtId="0" fontId="6" fillId="7" borderId="27" xfId="0" applyNumberFormat="1" applyFont="1" applyFill="1" applyBorder="1"/>
    <x:xf numFmtId="0" fontId="6" fillId="7" borderId="25" xfId="0" applyNumberFormat="1" applyFont="1" applyFill="1" applyBorder="1" applyAlignment="1">
      <x:alignment vertical="center"/>
    </x:xf>
    <x:xf numFmtId="0" fontId="6" fillId="7" borderId="26" xfId="0" applyNumberFormat="1" applyFont="1" applyFill="1" applyBorder="1" applyAlignment="1">
      <x:alignment vertical="center"/>
    </x:xf>
    <x:xf numFmtId="0" fontId="6" fillId="7" borderId="27" xfId="0" applyNumberFormat="1" applyFont="1" applyFill="1" applyBorder="1" applyAlignment="1">
      <x:alignment vertical="center"/>
    </x:xf>
    <x:xf numFmtId="0" fontId="0" fillId="8" borderId="0" xfId="0" applyNumberFormat="1" applyFont="1" applyFill="1" applyBorder="1"/>
    <x:xf numFmtId="0" fontId="6" fillId="8" borderId="0" xfId="0" applyNumberFormat="1" applyFont="1" applyFill="1" applyBorder="1"/>
    <x:xf numFmtId="0" fontId="6" fillId="8" borderId="25" xfId="0" applyNumberFormat="1" applyFont="1" applyFill="1" applyBorder="1"/>
    <x:xf numFmtId="0" fontId="6" fillId="8" borderId="26" xfId="0" applyNumberFormat="1" applyFont="1" applyFill="1" applyBorder="1"/>
    <x:xf numFmtId="0" fontId="6" fillId="8" borderId="27" xfId="0" applyNumberFormat="1" applyFont="1" applyFill="1" applyBorder="1"/>
    <x:xf numFmtId="0" fontId="6" fillId="8" borderId="25" xfId="0" applyNumberFormat="1" applyFont="1" applyFill="1" applyBorder="1" applyAlignment="1">
      <x:alignment vertical="center"/>
    </x:xf>
    <x:xf numFmtId="0" fontId="6" fillId="8" borderId="26" xfId="0" applyNumberFormat="1" applyFont="1" applyFill="1" applyBorder="1" applyAlignment="1">
      <x:alignment vertical="center"/>
    </x:xf>
    <x:xf numFmtId="0" fontId="6" fillId="8" borderId="27" xfId="0" applyNumberFormat="1" applyFont="1" applyFill="1" applyBorder="1" applyAlignment="1">
      <x:alignment vertical="center"/>
    </x:xf>
    <x:xf numFmtId="0" fontId="0" fillId="9" borderId="0" xfId="0" applyNumberFormat="1" applyFont="1" applyFill="1" applyBorder="1"/>
    <x:xf numFmtId="0" fontId="6" fillId="9" borderId="0" xfId="0" applyNumberFormat="1" applyFont="1" applyFill="1" applyBorder="1"/>
    <x:xf numFmtId="0" fontId="6" fillId="9" borderId="25" xfId="0" applyNumberFormat="1" applyFont="1" applyFill="1" applyBorder="1"/>
    <x:xf numFmtId="0" fontId="6" fillId="9" borderId="26" xfId="0" applyNumberFormat="1" applyFont="1" applyFill="1" applyBorder="1"/>
    <x:xf numFmtId="0" fontId="6" fillId="9" borderId="27" xfId="0" applyNumberFormat="1" applyFont="1" applyFill="1" applyBorder="1"/>
    <x:xf numFmtId="0" fontId="6" fillId="9" borderId="25" xfId="0" applyNumberFormat="1" applyFont="1" applyFill="1" applyBorder="1" applyAlignment="1">
      <x:alignment vertical="center"/>
    </x:xf>
    <x:xf numFmtId="0" fontId="6" fillId="9" borderId="26" xfId="0" applyNumberFormat="1" applyFont="1" applyFill="1" applyBorder="1" applyAlignment="1">
      <x:alignment vertical="center"/>
    </x:xf>
    <x:xf numFmtId="0" fontId="6" fillId="9" borderId="27" xfId="0" applyNumberFormat="1" applyFont="1" applyFill="1" applyBorder="1" applyAlignment="1">
      <x:alignment vertical="center"/>
    </x:xf>
    <x:xf numFmtId="0" fontId="0" fillId="10" borderId="0" xfId="0" applyNumberFormat="1" applyFont="1" applyFill="1" applyBorder="1"/>
    <x:xf numFmtId="0" fontId="6" fillId="10" borderId="0" xfId="0" applyNumberFormat="1" applyFont="1" applyFill="1" applyBorder="1"/>
    <x:xf numFmtId="0" fontId="6" fillId="10" borderId="25" xfId="0" applyNumberFormat="1" applyFont="1" applyFill="1" applyBorder="1"/>
    <x:xf numFmtId="0" fontId="6" fillId="10" borderId="26" xfId="0" applyNumberFormat="1" applyFont="1" applyFill="1" applyBorder="1"/>
    <x:xf numFmtId="0" fontId="6" fillId="10" borderId="27" xfId="0" applyNumberFormat="1" applyFont="1" applyFill="1" applyBorder="1"/>
    <x:xf numFmtId="0" fontId="6" fillId="10" borderId="25" xfId="0" applyNumberFormat="1" applyFont="1" applyFill="1" applyBorder="1" applyAlignment="1">
      <x:alignment vertical="center"/>
    </x:xf>
    <x:xf numFmtId="0" fontId="6" fillId="10" borderId="26" xfId="0" applyNumberFormat="1" applyFont="1" applyFill="1" applyBorder="1" applyAlignment="1">
      <x:alignment vertical="center"/>
    </x:xf>
    <x:xf numFmtId="0" fontId="6" fillId="10" borderId="27" xfId="0" applyNumberFormat="1" applyFont="1" applyFill="1" applyBorder="1" applyAlignment="1">
      <x:alignment vertical="center"/>
    </x:xf>
    <x:xf numFmtId="0" fontId="0" fillId="11" borderId="0" xfId="0" applyNumberFormat="1" applyFont="1" applyFill="1" applyBorder="1"/>
    <x:xf numFmtId="0" fontId="6" fillId="11" borderId="0" xfId="0" applyNumberFormat="1" applyFont="1" applyFill="1" applyBorder="1"/>
    <x:xf numFmtId="0" fontId="6" fillId="11" borderId="25" xfId="0" applyNumberFormat="1" applyFont="1" applyFill="1" applyBorder="1"/>
    <x:xf numFmtId="0" fontId="6" fillId="11" borderId="26" xfId="0" applyNumberFormat="1" applyFont="1" applyFill="1" applyBorder="1"/>
    <x:xf numFmtId="0" fontId="6" fillId="11" borderId="27" xfId="0" applyNumberFormat="1" applyFont="1" applyFill="1" applyBorder="1"/>
    <x:xf numFmtId="0" fontId="6" fillId="11" borderId="25" xfId="0" applyNumberFormat="1" applyFont="1" applyFill="1" applyBorder="1" applyAlignment="1">
      <x:alignment vertical="center"/>
    </x:xf>
    <x:xf numFmtId="0" fontId="6" fillId="11" borderId="26" xfId="0" applyNumberFormat="1" applyFont="1" applyFill="1" applyBorder="1" applyAlignment="1">
      <x:alignment vertical="center"/>
    </x:xf>
    <x:xf numFmtId="0" fontId="6" fillId="11" borderId="27" xfId="0" applyNumberFormat="1" applyFont="1" applyFill="1" applyBorder="1" applyAlignment="1">
      <x:alignment vertical="center"/>
    </x:xf>
    <x:xf numFmtId="0" fontId="0" fillId="12" borderId="0" xfId="0" applyNumberFormat="1" applyFont="1" applyFill="1" applyBorder="1"/>
    <x:xf numFmtId="0" fontId="6" fillId="12" borderId="0" xfId="0" applyNumberFormat="1" applyFont="1" applyFill="1" applyBorder="1"/>
    <x:xf numFmtId="0" fontId="6" fillId="12" borderId="25" xfId="0" applyNumberFormat="1" applyFont="1" applyFill="1" applyBorder="1"/>
    <x:xf numFmtId="0" fontId="6" fillId="12" borderId="26" xfId="0" applyNumberFormat="1" applyFont="1" applyFill="1" applyBorder="1"/>
    <x:xf numFmtId="0" fontId="6" fillId="12" borderId="27" xfId="0" applyNumberFormat="1" applyFont="1" applyFill="1" applyBorder="1"/>
    <x:xf numFmtId="0" fontId="6" fillId="12" borderId="25" xfId="0" applyNumberFormat="1" applyFont="1" applyFill="1" applyBorder="1" applyAlignment="1">
      <x:alignment vertical="center"/>
    </x:xf>
    <x:xf numFmtId="0" fontId="6" fillId="12" borderId="26" xfId="0" applyNumberFormat="1" applyFont="1" applyFill="1" applyBorder="1" applyAlignment="1">
      <x:alignment vertical="center"/>
    </x:xf>
    <x:xf numFmtId="0" fontId="6" fillId="12" borderId="27" xfId="0" applyNumberFormat="1" applyFont="1" applyFill="1" applyBorder="1" applyAlignment="1">
      <x:alignment vertical="center"/>
    </x:xf>
    <x:xf numFmtId="0" fontId="0" fillId="13" borderId="0" xfId="0" applyNumberFormat="1" applyFont="1" applyFill="1" applyBorder="1"/>
    <x:xf numFmtId="0" fontId="6" fillId="13" borderId="0" xfId="0" applyNumberFormat="1" applyFont="1" applyFill="1" applyBorder="1"/>
    <x:xf numFmtId="0" fontId="6" fillId="13" borderId="25" xfId="0" applyNumberFormat="1" applyFont="1" applyFill="1" applyBorder="1"/>
    <x:xf numFmtId="0" fontId="6" fillId="13" borderId="26" xfId="0" applyNumberFormat="1" applyFont="1" applyFill="1" applyBorder="1"/>
    <x:xf numFmtId="0" fontId="6" fillId="13" borderId="27" xfId="0" applyNumberFormat="1" applyFont="1" applyFill="1" applyBorder="1"/>
    <x:xf numFmtId="0" fontId="6" fillId="13" borderId="25" xfId="0" applyNumberFormat="1" applyFont="1" applyFill="1" applyBorder="1" applyAlignment="1">
      <x:alignment vertical="center"/>
    </x:xf>
    <x:xf numFmtId="0" fontId="6" fillId="13" borderId="26" xfId="0" applyNumberFormat="1" applyFont="1" applyFill="1" applyBorder="1" applyAlignment="1">
      <x:alignment vertical="center"/>
    </x:xf>
    <x:xf numFmtId="0" fontId="6" fillId="13" borderId="27" xfId="0" applyNumberFormat="1" applyFont="1" applyFill="1" applyBorder="1" applyAlignment="1">
      <x:alignment vertical="center"/>
    </x:xf>
    <x:xf numFmtId="0" fontId="0" fillId="14" borderId="0" xfId="0" applyNumberFormat="1" applyFont="1" applyFill="1" applyBorder="1"/>
    <x:xf numFmtId="0" fontId="6" fillId="14" borderId="0" xfId="0" applyNumberFormat="1" applyFont="1" applyFill="1" applyBorder="1"/>
    <x:xf numFmtId="0" fontId="6" fillId="14" borderId="25" xfId="0" applyNumberFormat="1" applyFont="1" applyFill="1" applyBorder="1"/>
    <x:xf numFmtId="0" fontId="6" fillId="14" borderId="26" xfId="0" applyNumberFormat="1" applyFont="1" applyFill="1" applyBorder="1"/>
    <x:xf numFmtId="0" fontId="6" fillId="14" borderId="27" xfId="0" applyNumberFormat="1" applyFont="1" applyFill="1" applyBorder="1"/>
    <x:xf numFmtId="0" fontId="6" fillId="14" borderId="25" xfId="0" applyNumberFormat="1" applyFont="1" applyFill="1" applyBorder="1" applyAlignment="1">
      <x:alignment vertical="center"/>
    </x:xf>
    <x:xf numFmtId="0" fontId="6" fillId="14" borderId="26" xfId="0" applyNumberFormat="1" applyFont="1" applyFill="1" applyBorder="1" applyAlignment="1">
      <x:alignment vertical="center"/>
    </x:xf>
    <x:xf numFmtId="0" fontId="6" fillId="14" borderId="27" xfId="0" applyNumberFormat="1" applyFont="1" applyFill="1" applyBorder="1" applyAlignment="1">
      <x:alignment vertical="center"/>
    </x:xf>
    <x:xf numFmtId="0" fontId="0" fillId="15" borderId="0" xfId="0" applyNumberFormat="1" applyFont="1" applyFill="1" applyBorder="1"/>
    <x:xf numFmtId="0" fontId="6" fillId="15" borderId="0" xfId="0" applyNumberFormat="1" applyFont="1" applyFill="1" applyBorder="1"/>
    <x:xf numFmtId="0" fontId="6" fillId="15" borderId="25" xfId="0" applyNumberFormat="1" applyFont="1" applyFill="1" applyBorder="1"/>
    <x:xf numFmtId="0" fontId="6" fillId="15" borderId="26" xfId="0" applyNumberFormat="1" applyFont="1" applyFill="1" applyBorder="1"/>
    <x:xf numFmtId="0" fontId="6" fillId="15" borderId="27" xfId="0" applyNumberFormat="1" applyFont="1" applyFill="1" applyBorder="1"/>
    <x:xf numFmtId="0" fontId="6" fillId="15" borderId="25" xfId="0" applyNumberFormat="1" applyFont="1" applyFill="1" applyBorder="1" applyAlignment="1">
      <x:alignment vertical="center"/>
    </x:xf>
    <x:xf numFmtId="0" fontId="6" fillId="15" borderId="26" xfId="0" applyNumberFormat="1" applyFont="1" applyFill="1" applyBorder="1" applyAlignment="1">
      <x:alignment vertical="center"/>
    </x:xf>
    <x:xf numFmtId="0" fontId="6" fillId="15" borderId="27"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3" xfId="0" applyNumberFormat="1" applyFont="1" applyFill="1" applyBorder="1"/>
    <x:xf numFmtId="0" fontId="4" fillId="4" borderId="4" xfId="0" applyNumberFormat="1" applyFont="1" applyFill="1" applyBorder="1"/>
    <x:xf numFmtId="0" fontId="4" fillId="4" borderId="5" xfId="0" applyNumberFormat="1" applyFont="1" applyFill="1" applyBorder="1"/>
    <x:xf numFmtId="0" fontId="4" fillId="4" borderId="6" xfId="0" applyNumberFormat="1" applyFont="1" applyFill="1" applyBorder="1"/>
    <x:xf numFmtId="0" fontId="4" fillId="4" borderId="8" xfId="0" applyNumberFormat="1" applyFont="1" applyFill="1" applyBorder="1"/>
    <x:xf numFmtId="0" fontId="4" fillId="4" borderId="1" xfId="0" applyNumberFormat="1" applyFont="1" applyFill="1" applyBorder="1" applyAlignment="1">
      <x:alignment wrapText="1"/>
    </x:xf>
    <x:xf numFmtId="0" fontId="4" fillId="4" borderId="3" xfId="0" applyNumberFormat="1" applyFont="1" applyFill="1" applyBorder="1" applyAlignment="1">
      <x:alignment wrapText="1"/>
    </x:xf>
    <x:xf numFmtId="0" fontId="4" fillId="4" borderId="4" xfId="0" applyNumberFormat="1" applyFont="1" applyFill="1" applyBorder="1" applyAlignment="1">
      <x:alignment wrapText="1"/>
    </x:xf>
    <x:xf numFmtId="0" fontId="4" fillId="4" borderId="5" xfId="0" applyNumberFormat="1" applyFont="1" applyFill="1" applyBorder="1" applyAlignment="1">
      <x:alignment wrapText="1"/>
    </x:xf>
    <x:xf numFmtId="0" fontId="4" fillId="4" borderId="6" xfId="0" applyNumberFormat="1" applyFont="1" applyFill="1" applyBorder="1" applyAlignment="1">
      <x:alignment wrapText="1"/>
    </x:xf>
    <x:xf numFmtId="0" fontId="4" fillId="4" borderId="8" xfId="0" applyNumberFormat="1" applyFont="1" applyFill="1" applyBorder="1" applyAlignment="1">
      <x:alignment wrapText="1"/>
    </x:xf>
    <x:xf numFmtId="0" fontId="4" fillId="4" borderId="1" xfId="0" applyNumberFormat="1" applyFont="1" applyFill="1" applyBorder="1" applyAlignment="1">
      <x:alignment vertical="top" wrapText="1"/>
    </x:xf>
    <x:xf numFmtId="0" fontId="4" fillId="4" borderId="3" xfId="0" applyNumberFormat="1" applyFont="1" applyFill="1" applyBorder="1" applyAlignment="1">
      <x:alignment vertical="top" wrapText="1"/>
    </x:xf>
    <x:xf numFmtId="0" fontId="4" fillId="4" borderId="4"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8" xfId="0" applyNumberFormat="1" applyFont="1" applyFill="1" applyBorder="1" applyAlignment="1">
      <x:alignment vertical="top" wrapText="1"/>
    </x:xf>
    <x:xf numFmtId="0" fontId="8" fillId="2" borderId="0" xfId="0" applyNumberFormat="1" applyFont="1" applyFill="1" applyBorder="1" applyAlignment="1">
      <x:alignment horizontal="center"/>
    </x:xf>
    <x:xf numFmtId="0" fontId="8" fillId="2" borderId="0" xfId="0" applyNumberFormat="1" applyFont="1" applyFill="1" applyBorder="1" applyAlignment="1">
      <x:alignment horizontal="center" vertical="center"/>
    </x:xf>
    <x:xf numFmtId="0" fontId="4" fillId="0" borderId="28" xfId="0" applyNumberFormat="1" applyFont="1" applyFill="1" applyBorder="1"/>
    <x:xf numFmtId="0" fontId="4" fillId="0" borderId="23" xfId="0" applyNumberFormat="1" applyFont="1" applyFill="1" applyBorder="1"/>
    <x:xf numFmtId="0" fontId="4" fillId="0" borderId="29" xfId="0" applyNumberFormat="1" applyFont="1" applyFill="1" applyBorder="1"/>
    <x:xf numFmtId="0" fontId="4" fillId="0" borderId="28" xfId="0" applyNumberFormat="1" applyFont="1" applyFill="1" applyBorder="1" applyAlignment="1">
      <x:alignment wrapText="1"/>
    </x:xf>
    <x:xf numFmtId="0" fontId="4" fillId="0" borderId="23" xfId="0" applyNumberFormat="1" applyFont="1" applyFill="1" applyBorder="1" applyAlignment="1">
      <x:alignment wrapText="1"/>
    </x:xf>
    <x:xf numFmtId="0" fontId="4" fillId="0" borderId="29" xfId="0" applyNumberFormat="1" applyFont="1" applyFill="1" applyBorder="1" applyAlignment="1">
      <x:alignment wrapText="1"/>
    </x:xf>
    <x:xf numFmtId="0" fontId="4" fillId="0" borderId="28" xfId="0" applyNumberFormat="1" applyFont="1" applyFill="1" applyBorder="1" applyAlignment="1">
      <x:alignment vertical="top" wrapText="1"/>
    </x:xf>
    <x:xf numFmtId="0" fontId="4" fillId="0" borderId="29" xfId="0" applyNumberFormat="1" applyFont="1" applyFill="1" applyBorder="1" applyAlignment="1">
      <x:alignment vertical="top" wrapText="1"/>
    </x:xf>
  </x:cellXfs>
  <x:cellStyles count="1">
    <x:cellStyle name="Normal" xfId="0"/>
  </x:cellStyles>
  <x:dxfs count="4">
    <x:dxf>
      <x:font>
        <x:b/>
        <x:color rgb="FF216E39"/>
      </x:font>
      <x:fill>
        <x:patternFill patternType="solid">
          <x:bgColor rgb="FFDDF2E3"/>
        </x:patternFill>
      </x:fill>
    </x:dxf>
    <x:dxf>
      <x:font>
        <x:b/>
        <x:color rgb="FF805B00"/>
      </x:font>
      <x:fill>
        <x:patternFill patternType="solid">
          <x:bgColor rgb="FFFFF1C7"/>
        </x:patternFill>
      </x:fill>
    </x:dxf>
    <x:dxf>
      <x:font>
        <x:b/>
        <x:color rgb="FFA61B1B"/>
      </x:font>
      <x:fill>
        <x:patternFill patternType="solid">
          <x:bgColor rgb="FFFADBD8"/>
        </x:patternFill>
      </x:fill>
    </x:dxf>
    <x:dxf>
      <x:font>
        <x:color rgb="FF566573"/>
      </x:font>
      <x:fill>
        <x:patternFill patternType="solid">
          <x:bgColor rgb="FFEE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b1e937e32924864" /><Relationship Type="http://schemas.openxmlformats.org/officeDocument/2006/relationships/theme" Target="/xl/theme/theme1.xml" Id="R536c057949d4457b" /><Relationship Type="http://schemas.openxmlformats.org/officeDocument/2006/relationships/sharedStrings" Target="/xl/sharedStrings.xml" Id="R125cfb3fed604ff4" /><Relationship Type="http://schemas.openxmlformats.org/officeDocument/2006/relationships/worksheet" Target="/xl/worksheets/sheet1.xml" Id="Ra624d212c28e4ed4" /><Relationship Type="http://schemas.openxmlformats.org/officeDocument/2006/relationships/worksheet" Target="/xl/worksheets/sheet2.xml" Id="R6d82ef0e1b4e48ef" /><Relationship Type="http://schemas.openxmlformats.org/officeDocument/2006/relationships/worksheet" Target="/xl/worksheets/sheet3.xml" Id="R29fb512f480e4e9a" /><Relationship Type="http://schemas.openxmlformats.org/officeDocument/2006/relationships/worksheet" Target="/xl/worksheets/sheet4.xml" Id="Rced2965a0a554f69" /></Relationships>
</file>

<file path=xl/tables/table1.xml><?xml version="1.0" encoding="utf-8"?>
<x:table xmlns:x="http://schemas.openxmlformats.org/spreadsheetml/2006/main" id="1" name="LaunchTasksTable" displayName="LaunchTasksTable" ref="A10:I74" headerRowCount="1" totalsRowCount="0" totalsRowShown="0">
  <x:autoFilter ref="A10:I74"/>
  <x:tableColumns count="9">
    <x:tableColumn id="1" name="Date"/>
    <x:tableColumn id="2" name="Week"/>
    <x:tableColumn id="3" name="Phase"/>
    <x:tableColumn id="4" name="What today means"/>
    <x:tableColumn id="5" name="Exactly what you do"/>
    <x:tableColumn id="6" name="Copy this entire prompt into Codex"/>
    <x:tableColumn id="7" name="Done means"/>
    <x:tableColumn id="8" name="Status"/>
    <x:tableColumn id="9"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0407c95a77b4f69"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2">
      <x:c r="A2" s="1" t="str">
        <x:v>Start here: your first-day guide to launching YOW</x:v>
      </x:c>
    </x:row>
    <x:row r="3">
      <x:c r="A3" s="2" t="str">
        <x:v>You do not need to know how to code. Your job is to make decisions, follow safe test instructions, and report exactly what you see.</x:v>
      </x:c>
    </x:row>
    <x:row r="5" ht="22" customHeight="1">
      <x:c r="A5" s="5" t="str">
        <x:v>What you do each evening</x:v>
      </x:c>
      <x:c r="B5" s="5"/>
      <x:c r="C5" s="5"/>
      <x:c r="D5" s="5"/>
      <x:c r="E5" s="5"/>
      <x:c r="F5" s="5"/>
      <x:c r="G5" s="5"/>
      <x:c r="H5" s="5"/>
    </x:row>
    <x:row r="6" ht="22" customHeight="1">
      <x:c r="A6" s="25" t="str">
        <x:v>1. Use the reserved 8:30–9:30 PM block.
2. Open the Daily Guide tab and find today's date.
3. Read only that row.
4. Copy its full Codex prompt into Codex.
5. Follow one instruction at a time.
6. Record Done, In progress, or Blocked.
7. Stop for the day. If you miss an evening, move that task to the next available evening instead of doubling up.</x:v>
      </x:c>
      <x:c r="B6" s="26"/>
      <x:c r="C6" s="26"/>
      <x:c r="D6" s="26"/>
      <x:c r="E6" s="26"/>
      <x:c r="F6" s="26"/>
      <x:c r="G6" s="26"/>
      <x:c r="H6" s="27"/>
    </x:row>
    <x:row r="7" ht="22" customHeight="1">
      <x:c r="A7" s="28"/>
      <x:c r="B7" s="29"/>
      <x:c r="C7" s="29"/>
      <x:c r="D7" s="29"/>
      <x:c r="E7" s="29"/>
      <x:c r="F7" s="29"/>
      <x:c r="G7" s="29"/>
      <x:c r="H7" s="30"/>
    </x:row>
    <x:row r="8" ht="22" customHeight="1">
      <x:c r="A8" s="28"/>
      <x:c r="B8" s="29"/>
      <x:c r="C8" s="29"/>
      <x:c r="D8" s="29"/>
      <x:c r="E8" s="29"/>
      <x:c r="F8" s="29"/>
      <x:c r="G8" s="29"/>
      <x:c r="H8" s="30"/>
    </x:row>
    <x:row r="9" ht="22" customHeight="1">
      <x:c r="A9" s="28"/>
      <x:c r="B9" s="29"/>
      <x:c r="C9" s="29"/>
      <x:c r="D9" s="29"/>
      <x:c r="E9" s="29"/>
      <x:c r="F9" s="29"/>
      <x:c r="G9" s="29"/>
      <x:c r="H9" s="30"/>
    </x:row>
    <x:row r="10" ht="22" customHeight="1">
      <x:c r="A10" s="31"/>
      <x:c r="B10" s="32"/>
      <x:c r="C10" s="32"/>
      <x:c r="D10" s="32"/>
      <x:c r="E10" s="32"/>
      <x:c r="F10" s="32"/>
      <x:c r="G10" s="32"/>
      <x:c r="H10" s="33"/>
    </x:row>
    <x:row r="11" ht="22" customHeight="1"/>
    <x:row r="12" ht="22" customHeight="1">
      <x:c r="A12" s="5" t="str">
        <x:v>What Codex does for you</x:v>
      </x:c>
      <x:c r="B12" s="5"/>
      <x:c r="C12" s="5"/>
      <x:c r="D12" s="5"/>
      <x:c r="E12" s="5"/>
      <x:c r="F12" s="5"/>
      <x:c r="G12" s="5"/>
      <x:c r="H12" s="5"/>
    </x:row>
    <x:row r="13" ht="22" customHeight="1">
      <x:c r="A13" s="25" t="str">
        <x:v>Codex reads and edits code, runs terminal commands, prepares safe test data, explains unfamiliar screens, records evidence, updates the roadmap, and tells you whether a task really passed. You should not be expected to diagnose code, database, deployment, or payment problems yourself.</x:v>
      </x:c>
      <x:c r="B13" s="26"/>
      <x:c r="C13" s="26"/>
      <x:c r="D13" s="26"/>
      <x:c r="E13" s="26"/>
      <x:c r="F13" s="26"/>
      <x:c r="G13" s="26"/>
      <x:c r="H13" s="27"/>
    </x:row>
    <x:row r="14" ht="22" customHeight="1">
      <x:c r="A14" s="28"/>
      <x:c r="B14" s="29"/>
      <x:c r="C14" s="29"/>
      <x:c r="D14" s="29"/>
      <x:c r="E14" s="29"/>
      <x:c r="F14" s="29"/>
      <x:c r="G14" s="29"/>
      <x:c r="H14" s="30"/>
    </x:row>
    <x:row r="15" ht="22" customHeight="1">
      <x:c r="A15" s="28"/>
      <x:c r="B15" s="29"/>
      <x:c r="C15" s="29"/>
      <x:c r="D15" s="29"/>
      <x:c r="E15" s="29"/>
      <x:c r="F15" s="29"/>
      <x:c r="G15" s="29"/>
      <x:c r="H15" s="30"/>
    </x:row>
    <x:row r="16" ht="22" customHeight="1">
      <x:c r="A16" s="28"/>
      <x:c r="B16" s="29"/>
      <x:c r="C16" s="29"/>
      <x:c r="D16" s="29"/>
      <x:c r="E16" s="29"/>
      <x:c r="F16" s="29"/>
      <x:c r="G16" s="29"/>
      <x:c r="H16" s="30"/>
    </x:row>
    <x:row r="17" ht="22" customHeight="1">
      <x:c r="A17" s="31"/>
      <x:c r="B17" s="32"/>
      <x:c r="C17" s="32"/>
      <x:c r="D17" s="32"/>
      <x:c r="E17" s="32"/>
      <x:c r="F17" s="32"/>
      <x:c r="G17" s="32"/>
      <x:c r="H17" s="33"/>
    </x:row>
    <x:row r="18" ht="22" customHeight="1"/>
    <x:row r="19" ht="22" customHeight="1">
      <x:c r="A19" s="5" t="str">
        <x:v>Your four safety rules</x:v>
      </x:c>
      <x:c r="B19" s="5"/>
      <x:c r="C19" s="5"/>
      <x:c r="D19" s="5"/>
      <x:c r="E19" s="5"/>
      <x:c r="F19" s="5"/>
      <x:c r="G19" s="5"/>
      <x:c r="H19" s="5"/>
    </x:row>
    <x:row r="20" ht="22" customHeight="1">
      <x:c r="A20" s="25" t="str">
        <x:v>1. Never paste passwords, API keys, recovery codes, or secret values into chat or the workbook.
2. Never test deletion or billing with your owner/admin account. Use the named test account.
3. If the screen does not match the instruction, stop and tell Codex what you see. Do not guess.
4. Never enable real paid checkout before the final launch-day instruction.</x:v>
      </x:c>
      <x:c r="B20" s="26"/>
      <x:c r="C20" s="26"/>
      <x:c r="D20" s="26"/>
      <x:c r="E20" s="26"/>
      <x:c r="F20" s="26"/>
      <x:c r="G20" s="26"/>
      <x:c r="H20" s="27"/>
    </x:row>
    <x:row r="21" ht="22" customHeight="1">
      <x:c r="A21" s="28"/>
      <x:c r="B21" s="29"/>
      <x:c r="C21" s="29"/>
      <x:c r="D21" s="29"/>
      <x:c r="E21" s="29"/>
      <x:c r="F21" s="29"/>
      <x:c r="G21" s="29"/>
      <x:c r="H21" s="30"/>
    </x:row>
    <x:row r="22" ht="22" customHeight="1">
      <x:c r="A22" s="28"/>
      <x:c r="B22" s="29"/>
      <x:c r="C22" s="29"/>
      <x:c r="D22" s="29"/>
      <x:c r="E22" s="29"/>
      <x:c r="F22" s="29"/>
      <x:c r="G22" s="29"/>
      <x:c r="H22" s="30"/>
    </x:row>
    <x:row r="23" ht="22" customHeight="1">
      <x:c r="A23" s="28"/>
      <x:c r="B23" s="29"/>
      <x:c r="C23" s="29"/>
      <x:c r="D23" s="29"/>
      <x:c r="E23" s="29"/>
      <x:c r="F23" s="29"/>
      <x:c r="G23" s="29"/>
      <x:c r="H23" s="30"/>
    </x:row>
    <x:row r="24" ht="22" customHeight="1">
      <x:c r="A24" s="31"/>
      <x:c r="B24" s="32"/>
      <x:c r="C24" s="32"/>
      <x:c r="D24" s="32"/>
      <x:c r="E24" s="32"/>
      <x:c r="F24" s="32"/>
      <x:c r="G24" s="32"/>
      <x:c r="H24" s="33"/>
    </x:row>
    <x:row r="25" ht="22" customHeight="1"/>
    <x:row r="26" ht="22" customHeight="1">
      <x:c r="A26" s="5" t="str">
        <x:v>What the Status choices mean</x:v>
      </x:c>
      <x:c r="B26" s="5"/>
      <x:c r="C26" s="5"/>
      <x:c r="D26" s="5"/>
      <x:c r="E26" s="5"/>
      <x:c r="F26" s="5"/>
      <x:c r="G26" s="5"/>
      <x:c r="H26" s="5"/>
    </x:row>
    <x:row r="27" ht="22" customHeight="1">
      <x:c r="A27" s="25" t="str">
        <x:v>Not started: you have not begun.
In progress: you started, but a safe next step remains.
Blocked: you cannot continue safely; write the exact reason in Notes.
Done: Codex confirmed the required result, evidence was saved, and the roadmap was updated when needed.</x:v>
      </x:c>
      <x:c r="B27" s="26"/>
      <x:c r="C27" s="26"/>
      <x:c r="D27" s="26"/>
      <x:c r="E27" s="26"/>
      <x:c r="F27" s="26"/>
      <x:c r="G27" s="26"/>
      <x:c r="H27" s="27"/>
    </x:row>
    <x:row r="28" ht="22" customHeight="1">
      <x:c r="A28" s="28"/>
      <x:c r="B28" s="29"/>
      <x:c r="C28" s="29"/>
      <x:c r="D28" s="29"/>
      <x:c r="E28" s="29"/>
      <x:c r="F28" s="29"/>
      <x:c r="G28" s="29"/>
      <x:c r="H28" s="30"/>
    </x:row>
    <x:row r="29" ht="22" customHeight="1">
      <x:c r="A29" s="28"/>
      <x:c r="B29" s="29"/>
      <x:c r="C29" s="29"/>
      <x:c r="D29" s="29"/>
      <x:c r="E29" s="29"/>
      <x:c r="F29" s="29"/>
      <x:c r="G29" s="29"/>
      <x:c r="H29" s="30"/>
    </x:row>
    <x:row r="30" ht="22" customHeight="1">
      <x:c r="A30" s="28"/>
      <x:c r="B30" s="29"/>
      <x:c r="C30" s="29"/>
      <x:c r="D30" s="29"/>
      <x:c r="E30" s="29"/>
      <x:c r="F30" s="29"/>
      <x:c r="G30" s="29"/>
      <x:c r="H30" s="30"/>
    </x:row>
    <x:row r="31" ht="22" customHeight="1">
      <x:c r="A31" s="31"/>
      <x:c r="B31" s="32"/>
      <x:c r="C31" s="32"/>
      <x:c r="D31" s="32"/>
      <x:c r="E31" s="32"/>
      <x:c r="F31" s="32"/>
      <x:c r="G31" s="32"/>
      <x:c r="H31" s="33"/>
    </x:row>
    <x:row r="32" ht="22" customHeight="1"/>
    <x:row r="33" ht="22" customHeight="1">
      <x:c r="A33" s="5" t="str">
        <x:v>If you finish early or a task does not pass</x:v>
      </x:c>
      <x:c r="B33" s="5"/>
      <x:c r="C33" s="5"/>
      <x:c r="D33" s="5"/>
      <x:c r="E33" s="5"/>
      <x:c r="F33" s="5"/>
      <x:c r="G33" s="5"/>
      <x:c r="H33" s="5"/>
    </x:row>
    <x:row r="34" ht="22" customHeight="1">
      <x:c r="A34" s="25" t="str">
        <x:v>Finish early: record the evidence, mark the row Done, add the real completion date to Notes, then continue with the next row that is not Done. Keep the original order even when working ahead.
Cannot pass safely: mark the row Blocked, copy the error or screenshot into Codex, and stop. A failed hard gate moves launch by one week. It does not remove the check, shorten the marketing runway, or justify risking customer data.</x:v>
      </x:c>
      <x:c r="B34" s="26"/>
      <x:c r="C34" s="26"/>
      <x:c r="D34" s="26"/>
      <x:c r="E34" s="26"/>
      <x:c r="F34" s="26"/>
      <x:c r="G34" s="26"/>
      <x:c r="H34" s="27"/>
    </x:row>
    <x:row r="35" ht="22" customHeight="1">
      <x:c r="A35" s="28"/>
      <x:c r="B35" s="29"/>
      <x:c r="C35" s="29"/>
      <x:c r="D35" s="29"/>
      <x:c r="E35" s="29"/>
      <x:c r="F35" s="29"/>
      <x:c r="G35" s="29"/>
      <x:c r="H35" s="30"/>
    </x:row>
    <x:row r="36" ht="22" customHeight="1">
      <x:c r="A36" s="28"/>
      <x:c r="B36" s="29"/>
      <x:c r="C36" s="29"/>
      <x:c r="D36" s="29"/>
      <x:c r="E36" s="29"/>
      <x:c r="F36" s="29"/>
      <x:c r="G36" s="29"/>
      <x:c r="H36" s="30"/>
    </x:row>
    <x:row r="37" ht="22" customHeight="1">
      <x:c r="A37" s="28"/>
      <x:c r="B37" s="29"/>
      <x:c r="C37" s="29"/>
      <x:c r="D37" s="29"/>
      <x:c r="E37" s="29"/>
      <x:c r="F37" s="29"/>
      <x:c r="G37" s="29"/>
      <x:c r="H37" s="30"/>
    </x:row>
    <x:row r="38" ht="22" customHeight="1">
      <x:c r="A38" s="31"/>
      <x:c r="B38" s="32"/>
      <x:c r="C38" s="32"/>
      <x:c r="D38" s="32"/>
      <x:c r="E38" s="32"/>
      <x:c r="F38" s="32"/>
      <x:c r="G38" s="32"/>
      <x:c r="H38" s="33"/>
    </x:row>
    <x:row r="39" ht="22" customHeight="1"/>
    <x:row r="40" ht="22" customHeight="1">
      <x:c r="A40" s="5" t="str">
        <x:v>Beta removal in plain English</x:v>
      </x:c>
      <x:c r="B40" s="5"/>
      <x:c r="C40" s="5"/>
      <x:c r="D40" s="5"/>
      <x:c r="E40" s="5"/>
      <x:c r="F40" s="5"/>
      <x:c r="G40" s="5"/>
      <x:c r="H40" s="5"/>
    </x:row>
    <x:row r="41" ht="22" customHeight="1">
      <x:c r="A41" s="25" t="str">
        <x:v>16 November: stop giving Beta access to new people and remove Beta as a public plan. Existing testers keep their access and exports.
16–27 November: market the upcoming launch while checkout stays off.
30 November: after the final checks, enable checkout and place existing Beta testers into the approved 30-day notice path. Never mass-delete or abruptly revoke their data.</x:v>
      </x:c>
      <x:c r="B41" s="26"/>
      <x:c r="C41" s="26"/>
      <x:c r="D41" s="26"/>
      <x:c r="E41" s="26"/>
      <x:c r="F41" s="26"/>
      <x:c r="G41" s="26"/>
      <x:c r="H41" s="27"/>
    </x:row>
    <x:row r="42" ht="22" customHeight="1">
      <x:c r="A42" s="28"/>
      <x:c r="B42" s="29"/>
      <x:c r="C42" s="29"/>
      <x:c r="D42" s="29"/>
      <x:c r="E42" s="29"/>
      <x:c r="F42" s="29"/>
      <x:c r="G42" s="29"/>
      <x:c r="H42" s="30"/>
    </x:row>
    <x:row r="43" ht="22" customHeight="1">
      <x:c r="A43" s="28"/>
      <x:c r="B43" s="29"/>
      <x:c r="C43" s="29"/>
      <x:c r="D43" s="29"/>
      <x:c r="E43" s="29"/>
      <x:c r="F43" s="29"/>
      <x:c r="G43" s="29"/>
      <x:c r="H43" s="30"/>
    </x:row>
    <x:row r="44" ht="22" customHeight="1">
      <x:c r="A44" s="28"/>
      <x:c r="B44" s="29"/>
      <x:c r="C44" s="29"/>
      <x:c r="D44" s="29"/>
      <x:c r="E44" s="29"/>
      <x:c r="F44" s="29"/>
      <x:c r="G44" s="29"/>
      <x:c r="H44" s="30"/>
    </x:row>
    <x:row r="45" ht="22" customHeight="1">
      <x:c r="A45" s="31"/>
      <x:c r="B45" s="32"/>
      <x:c r="C45" s="32"/>
      <x:c r="D45" s="32"/>
      <x:c r="E45" s="32"/>
      <x:c r="F45" s="32"/>
      <x:c r="G45" s="32"/>
      <x:c r="H45" s="33"/>
    </x:row>
    <x:row r="46" ht="22" customHeight="1"/>
    <x:row r="47" ht="22" customHeight="1">
      <x:c r="A47" s="5" t="str">
        <x:v>How to import the calendar file</x:v>
      </x:c>
      <x:c r="B47" s="5"/>
      <x:c r="C47" s="5"/>
      <x:c r="D47" s="5"/>
      <x:c r="E47" s="5"/>
      <x:c r="F47" s="5"/>
      <x:c r="G47" s="5"/>
      <x:c r="H47" s="5"/>
    </x:row>
    <x:row r="48" ht="22" customHeight="1">
      <x:c r="A48" s="25" t="str">
        <x:v>Apple Calendar: File → Import → choose YOW-Launch-Calendar-Beginner.ics → place it in a new calendar named YOW Launch.
Google Calendar: Settings → Import &amp; export → Import → choose the .ics file → select or create a YOW Launch calendar.
Outlook: Add calendar → Upload from file → choose the .ics file.
Every entry reserves 8:30–9:30 PM Europe/London time. Weekend entries are lighter preparation, review, or catch-up blocks.</x:v>
      </x:c>
      <x:c r="B48" s="26"/>
      <x:c r="C48" s="26"/>
      <x:c r="D48" s="26"/>
      <x:c r="E48" s="26"/>
      <x:c r="F48" s="26"/>
      <x:c r="G48" s="26"/>
      <x:c r="H48" s="27"/>
    </x:row>
    <x:row r="49" ht="22" customHeight="1">
      <x:c r="A49" s="28"/>
      <x:c r="B49" s="29"/>
      <x:c r="C49" s="29"/>
      <x:c r="D49" s="29"/>
      <x:c r="E49" s="29"/>
      <x:c r="F49" s="29"/>
      <x:c r="G49" s="29"/>
      <x:c r="H49" s="30"/>
    </x:row>
    <x:row r="50" ht="22" customHeight="1">
      <x:c r="A50" s="28"/>
      <x:c r="B50" s="29"/>
      <x:c r="C50" s="29"/>
      <x:c r="D50" s="29"/>
      <x:c r="E50" s="29"/>
      <x:c r="F50" s="29"/>
      <x:c r="G50" s="29"/>
      <x:c r="H50" s="30"/>
    </x:row>
    <x:row r="51" ht="22" customHeight="1">
      <x:c r="A51" s="28"/>
      <x:c r="B51" s="29"/>
      <x:c r="C51" s="29"/>
      <x:c r="D51" s="29"/>
      <x:c r="E51" s="29"/>
      <x:c r="F51" s="29"/>
      <x:c r="G51" s="29"/>
      <x:c r="H51" s="30"/>
    </x:row>
    <x:row r="52" ht="22" customHeight="1">
      <x:c r="A52" s="31"/>
      <x:c r="B52" s="32"/>
      <x:c r="C52" s="32"/>
      <x:c r="D52" s="32"/>
      <x:c r="E52" s="32"/>
      <x:c r="F52" s="32"/>
      <x:c r="G52" s="32"/>
      <x:c r="H52" s="33"/>
    </x:row>
  </x:sheetData>
  <x:mergeCells>
    <x:mergeCell ref="A2:H2"/>
    <x:mergeCell ref="A3:H3"/>
    <x:mergeCell ref="A5:H5"/>
    <x:mergeCell ref="A6:H10"/>
    <x:mergeCell ref="A12:H12"/>
    <x:mergeCell ref="A13:H17"/>
    <x:mergeCell ref="A19:H19"/>
    <x:mergeCell ref="A20:H24"/>
    <x:mergeCell ref="A26:H26"/>
    <x:mergeCell ref="A27:H31"/>
    <x:mergeCell ref="A33:H33"/>
    <x:mergeCell ref="A34:H38"/>
    <x:mergeCell ref="A40:H40"/>
    <x:mergeCell ref="A41:H45"/>
    <x:mergeCell ref="A47:H47"/>
    <x:mergeCell ref="A48:H52"/>
  </x:mergeCells>
  <x:pageMargins left="0.7" right="0.7" top="0.75" bottom="0.75" header="0.3" footer="0.3"/>
</x:worksheet>
</file>

<file path=xl/worksheets/sheet2.xml><?xml version="1.0" encoding="utf-8"?>
<x:worksheet xmlns:x="http://schemas.openxmlformats.org/spreadsheetml/2006/main">
  <x:sheetPr>
    <x:tabColor rgb="FF2B7A78"/>
  </x:sheetPr>
  <x:sheetViews>
    <x:sheetView showGridLines="0" workbookViewId="0">
      <x:pane xSplit="3" ySplit="10" topLeftCell="D11" activePane="bottomRight" state="frozen"/>
    </x:sheetView>
  </x:sheetViews>
  <x:sheetFormatPr defaultRowHeight="15"/>
  <x:cols>
    <x:col min="1" max="1" width="14" hidden="0" customWidth="1"/>
    <x:col min="2" max="2" width="11" hidden="0" customWidth="1"/>
    <x:col min="3" max="3" width="24" hidden="0" customWidth="1"/>
    <x:col min="4" max="4" width="34" hidden="0" customWidth="1"/>
    <x:col min="5" max="5" width="78" hidden="0" customWidth="1"/>
    <x:col min="6" max="6" width="78" hidden="0" customWidth="1"/>
    <x:col min="7" max="7" width="46" hidden="0" customWidth="1"/>
    <x:col min="8" max="8" width="15" hidden="0" customWidth="1"/>
    <x:col min="9" max="9" width="36" hidden="0" customWidth="1"/>
  </x:cols>
  <x:sheetData>
    <x:row r="2">
      <x:c r="A2" s="1" t="str">
        <x:v>YOW paid-launch daily guide</x:v>
      </x:c>
    </x:row>
    <x:row r="3">
      <x:c r="A3" s="2" t="str">
        <x:v>Read one row per day. Copy the prompt into Codex and make it guide you one step at a time.</x:v>
      </x:c>
    </x:row>
    <x:row r="5">
      <x:c r="A5" s="41" t="str">
        <x:v>Tasks</x:v>
      </x:c>
      <x:c r="B5" s="42" t="n">
        <x:f>COUNTA(A11:A74)</x:f>
        <x:v>64</x:v>
      </x:c>
      <x:c r="D5" s="36" t="str">
        <x:v>Beginner rule</x:v>
      </x:c>
    </x:row>
    <x:row r="6">
      <x:c r="A6" s="43" t="str">
        <x:v>Done</x:v>
      </x:c>
      <x:c r="B6" s="44" t="n">
        <x:f>COUNTIF(H11:H74,"Done")</x:f>
        <x:v>2</x:v>
      </x:c>
      <x:c r="D6" s="66" t="str">
        <x:v>You are never expected to understand or perform the engineering outcome by yourself. Copy the day's prompt into Codex. Make Codex explain the screen, give one step, wait for you, and handle all code and terminal work.</x:v>
      </x:c>
      <x:c r="E6" s="67"/>
      <x:c r="F6" s="67"/>
      <x:c r="G6" s="67"/>
      <x:c r="H6" s="67"/>
      <x:c r="I6" s="68"/>
    </x:row>
    <x:row r="7">
      <x:c r="A7" s="43" t="str">
        <x:v>Remaining</x:v>
      </x:c>
      <x:c r="B7" s="44" t="n">
        <x:f>B5-B6</x:f>
        <x:v>62</x:v>
      </x:c>
      <x:c r="D7" s="69"/>
      <x:c r="E7" s="70"/>
      <x:c r="F7" s="70"/>
      <x:c r="G7" s="70"/>
      <x:c r="H7" s="70"/>
      <x:c r="I7" s="71"/>
    </x:row>
    <x:row r="8">
      <x:c r="A8" s="43" t="str">
        <x:v>Blocked</x:v>
      </x:c>
      <x:c r="B8" s="44" t="n">
        <x:f>COUNTIF(H11:H74,"Blocked")</x:f>
        <x:v>0</x:v>
      </x:c>
      <x:c r="D8" s="69"/>
      <x:c r="E8" s="70"/>
      <x:c r="F8" s="70"/>
      <x:c r="G8" s="70"/>
      <x:c r="H8" s="70"/>
      <x:c r="I8" s="71"/>
    </x:row>
    <x:row r="9">
      <x:c r="A9" s="45" t="str">
        <x:v>Progress</x:v>
      </x:c>
      <x:c r="B9" s="46" t="n">
        <x:f>IFERROR(B6/B5,0)</x:f>
        <x:v>0.03125</x:v>
      </x:c>
      <x:c r="D9" s="72"/>
      <x:c r="E9" s="73"/>
      <x:c r="F9" s="73"/>
      <x:c r="G9" s="73"/>
      <x:c r="H9" s="73"/>
      <x:c r="I9" s="74"/>
    </x:row>
    <x:row r="10" ht="30" customHeight="1">
      <x:c r="A10" s="106" t="str">
        <x:v>Date</x:v>
      </x:c>
      <x:c r="B10" s="107" t="str">
        <x:v>Week</x:v>
      </x:c>
      <x:c r="C10" s="107" t="str">
        <x:v>Phase</x:v>
      </x:c>
      <x:c r="D10" s="107" t="str">
        <x:v>What today means</x:v>
      </x:c>
      <x:c r="E10" s="107" t="str">
        <x:v>Exactly what you do</x:v>
      </x:c>
      <x:c r="F10" s="107" t="str">
        <x:v>Copy this entire prompt into Codex</x:v>
      </x:c>
      <x:c r="G10" s="107" t="str">
        <x:v>Done means</x:v>
      </x:c>
      <x:c r="H10" s="107" t="str">
        <x:v>Status</x:v>
      </x:c>
      <x:c r="I10" s="108" t="str">
        <x:v>Notes</x:v>
      </x:c>
    </x:row>
    <x:row r="11" ht="150" customHeight="1">
      <x:c r="A11" s="109" t="n">
        <x:v>46293.5</x:v>
      </x:c>
      <x:c r="B11" s="110" t="str">
        <x:v>Week 1</x:v>
      </x:c>
      <x:c r="C11" s="111" t="str">
        <x:v>Release baseline</x:v>
      </x:c>
      <x:c r="D11" s="112" t="str">
        <x:v>Create one stable starting version of the app. We first prove the current code can build and pass its automatic checks before adding more launch work.</x:v>
      </x:c>
      <x:c r="E11"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Approve the calendar and reserve daily evening review blocks through 30 November.
5. Safety rule: Do not run terminal commands, edit code, or change production settings yourself. Codex handles technical work and explains any owner-only click before you make it.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11" s="112" t="str">
        <x:v>Today is 2026-09-28. I am a complete beginner and I am following the YOW paid-launch plan. My only task today is: Approve the calendar and reserve daily evening review blocks through 30 November. The result we need is: Freeze launch scope and classify every remaining item as launch-blocking, verification-only, or post-launch.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11" s="112" t="str">
        <x:v>Freeze launch scope and classify every remaining item as launch-blocking, verification-only, or post-launch.
Also required: Codex states that evidence was recorded and tells you to mark this task Done.</x:v>
      </x:c>
      <x:c r="H11" s="113" t="str">
        <x:v>Done</x:v>
      </x:c>
      <x:c r="I11" s="112" t="str">
        <x:v>Completed 2026-09-28. Owner approved the daily 20:30–21:30 calendar, imported all 64 events, and accepted the frozen three-way scope classification recorded in docs/ROADMAP.md.</x:v>
      </x:c>
    </x:row>
    <x:row r="12" ht="150" customHeight="1">
      <x:c r="A12" s="109" t="n">
        <x:v>46294.5</x:v>
      </x:c>
      <x:c r="B12" s="110" t="str">
        <x:v>Week 1</x:v>
      </x:c>
      <x:c r="C12" s="111" t="str">
        <x:v>Release baseline</x:v>
      </x:c>
      <x:c r="D12" s="112" t="str">
        <x:v>Create one stable starting version of the app. We first prove the current code can build and pass its automatic checks before adding more launch work.</x:v>
      </x:c>
      <x:c r="E12"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Review the short release-baseline report and decide only if a true scope conflict is surfaced.
5. Safety rule: Do not run terminal commands, edit code, or change production settings yourself. Codex handles technical work and explains any owner-only click before you make it.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12" s="112" t="str">
        <x:v>Today is 2026-09-29. I am a complete beginner and I am following the YOW paid-launch plan. My only task today is: Review the short release-baseline report and decide only if a true scope conflict is surfaced. The result we need is: Make npm run qa green, reconcile the Vercel route test, and review current uncommitted work.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12" s="112" t="str">
        <x:v>Make npm run qa green, reconcile the Vercel route test, and review current uncommitted work.
Also required: Codex states that evidence was recorded and tells you to mark this task Done.</x:v>
      </x:c>
      <x:c r="H12" s="113" t="str">
        <x:v>Done</x:v>
      </x:c>
      <x:c r="I12" s="112" t="str">
        <x:v>Completed early on 2026-09-28. Owner approved the release baseline with no scope conflict. npm run qa passed: 1,202 tests, production build, 214-file load check, 48 E2E specs represented in CI, and 12 API imports. The stale Vercel routing expectation was reconciled with the generated route-specific SEO HTML.</x:v>
      </x:c>
    </x:row>
    <x:row r="13" ht="150" customHeight="1">
      <x:c r="A13" s="109" t="n">
        <x:v>46295.5</x:v>
      </x:c>
      <x:c r="B13" s="110" t="str">
        <x:v>Week 1</x:v>
      </x:c>
      <x:c r="C13" s="111" t="str">
        <x:v>Release baseline</x:v>
      </x:c>
      <x:c r="D13" s="112" t="str">
        <x:v>Create one stable starting version of the app. We first prove the current code can build and pass its automatic checks before adding more launch work.</x:v>
      </x:c>
      <x:c r="E13"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Run a 30-minute sign-in, project, writing, and export smoke test.
5. Safety rule: Do not run terminal commands, edit code, or change production settings yourself. Codex handles technical work and explains any owner-only click before you make it.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13" s="112" t="str">
        <x:v>Today is 2026-09-30. I am a complete beginner and I am following the YOW paid-launch plan. My only task today is: Run a 30-minute sign-in, project, writing, and export smoke test. The result we need is: Commit a clean baseline and record test, build, bundle, and warning results.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13" s="112" t="str">
        <x:v>Commit a clean baseline and record test, build, bundle, and warning results.
Also required: Codex states that evidence was recorded and tells you to mark this task Done.</x:v>
      </x:c>
      <x:c r="H13" s="113" t="str">
        <x:v>Not started</x:v>
      </x:c>
      <x:c r="I13" s="112" t="str"/>
    </x:row>
    <x:row r="14" ht="150" customHeight="1">
      <x:c r="A14" s="109" t="n">
        <x:v>46296.5</x:v>
      </x:c>
      <x:c r="B14" s="110" t="str">
        <x:v>Week 1</x:v>
      </x:c>
      <x:c r="C14" s="111" t="str">
        <x:v>Release baseline</x:v>
      </x:c>
      <x:c r="D14" s="112" t="str">
        <x:v>Create one stable starting version of the app. We first prove the current code can build and pass its automatic checks before adding more launch work.</x:v>
      </x:c>
      <x:c r="E14"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Confirm the six launch project types and excluded promises still match the product you intend to sell.
5. Safety rule: Do not run terminal commands, edit code, or change production settings yourself. Codex handles technical work and explains any owner-only click before you make it.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14" s="112" t="str">
        <x:v>Today is 2026-10-01. I am a complete beginner and I am following the YOW paid-launch plan. My only task today is: Confirm the six launch project types and excluded promises still match the product you intend to sell. The result we need is: Reconcile stale roadmap and marketing contradictions, especially desktop and coming-soon language.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14" s="112" t="str">
        <x:v>Reconcile stale roadmap and marketing contradictions, especially desktop and coming-soon language.
Also required: Codex states that evidence was recorded and tells you to mark this task Done.</x:v>
      </x:c>
      <x:c r="H14" s="113" t="str">
        <x:v>Not started</x:v>
      </x:c>
      <x:c r="I14" s="112" t="str"/>
    </x:row>
    <x:row r="15" ht="150" customHeight="1">
      <x:c r="A15" s="109" t="n">
        <x:v>46297.5</x:v>
      </x:c>
      <x:c r="B15" s="110" t="str">
        <x:v>Week 1</x:v>
      </x:c>
      <x:c r="C15" s="111" t="str">
        <x:v>Release baseline</x:v>
      </x:c>
      <x:c r="D15" s="112" t="str">
        <x:v>Create one stable starting version of the app. We first prove the current code can build and pass its automatic checks before adding more launch work.</x:v>
      </x:c>
      <x:c r="E15"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Review the Week 1 status and approve the ordered blocker queue.
5. Safety rule: Do not run terminal commands, edit code, or change production settings yourself. Codex handles technical work and explains any owner-only click before you make it.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15" s="112" t="str">
        <x:v>Today is 2026-10-02. I am a complete beginner and I am following the YOW paid-launch plan. My only task today is: Review the Week 1 status and approve the ordered blocker queue. The result we need is: Cut the first launch candidate only if the baseline is green.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15" s="112" t="str">
        <x:v>Cut the first launch candidate only if the baseline is green.
Also required: Codex states that evidence was recorded and tells you to mark this task Done.</x:v>
      </x:c>
      <x:c r="H15" s="113" t="str">
        <x:v>Not started</x:v>
      </x:c>
      <x:c r="I15" s="112" t="str"/>
    </x:row>
    <x:row r="16" ht="150" customHeight="1">
      <x:c r="A16" s="109" t="n">
        <x:v>46298.5</x:v>
      </x:c>
      <x:c r="B16" s="110" t="str">
        <x:v>Week 1</x:v>
      </x:c>
      <x:c r="C16" s="111" t="str">
        <x:v>Release baseline</x:v>
      </x:c>
      <x:c r="D16" s="112" t="str">
        <x:v>Create one stable starting version of the app. We first prove the current code can build and pass its automatic checks before adding more launch work.</x:v>
      </x:c>
      <x:c r="E16"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Review the frozen-scope classification and note any item that appears in the wrong group.
5. Safety rule: Do not run terminal commands, edit code, or change production settings yourself. Codex handles technical work and explains any owner-only click before you make it.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16" s="112" t="str">
        <x:v>Today is 2026-10-03. I am a complete beginner and I am following the YOW paid-launch plan. My only task today is: Review the frozen-scope classification and note any item that appears in the wrong group. The result we need is: Confirm that new ideas are parked and every open item follows the launch-blocking, verification-only, or post-launch rule.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16" s="112" t="str">
        <x:v>Confirm that new ideas are parked and every open item follows the launch-blocking, verification-only, or post-launch rule.
Also required: Codex states that evidence was recorded and tells you to mark this task Done.</x:v>
      </x:c>
      <x:c r="H16" s="113" t="str">
        <x:v>Not started</x:v>
      </x:c>
      <x:c r="I16" s="112" t="str"/>
    </x:row>
    <x:row r="17" ht="150" customHeight="1">
      <x:c r="A17" s="109" t="n">
        <x:v>46299.5</x:v>
      </x:c>
      <x:c r="B17" s="110" t="str">
        <x:v>Week 1</x:v>
      </x:c>
      <x:c r="C17" s="111" t="str">
        <x:v>Release baseline</x:v>
      </x:c>
      <x:c r="D17" s="112" t="str">
        <x:v>Create one stable starting version of the app. We first prove the current code can build and pass its automatic checks before adding more launch work.</x:v>
      </x:c>
      <x:c r="E17"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Prepare the safe test setup for Data Safety week.
5. Safety rule: Do not run terminal commands, edit code, or change production settings yourself. Codex handles technical work and explains any owner-only click before you make it.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17" s="112" t="str">
        <x:v>Today is 2026-10-04. I am a complete beginner and I am following the YOW paid-launch plan. My only task today is: Prepare the safe test setup for Data Safety week. The result we need is: Confirm the two designated test accounts, two browser profiles, and disposable project names without copying any passwords or secrets into the plan.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17" s="112" t="str">
        <x:v>Confirm the two designated test accounts, two browser profiles, and disposable project names without copying any passwords or secrets into the plan.
Also required: Codex states that evidence was recorded and tells you to mark this task Done.</x:v>
      </x:c>
      <x:c r="H17" s="113" t="str">
        <x:v>Not started</x:v>
      </x:c>
      <x:c r="I17" s="112" t="str"/>
    </x:row>
    <x:row r="18" ht="150" customHeight="1">
      <x:c r="A18" s="109" t="n">
        <x:v>46300.5</x:v>
      </x:c>
      <x:c r="B18" s="110" t="str">
        <x:v>Week 2</x:v>
      </x:c>
      <x:c r="C18" s="114" t="str">
        <x:v>Data safety</x:v>
      </x:c>
      <x:c r="D18" s="112" t="str">
        <x:v>Prove that one user's work cannot overwrite, leak into, or disappear from another user's account or browser tab.</x:v>
      </x:c>
      <x:c r="E18"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Provide the production Supabase session or access needed for the guided migration check.
5. Safety rule: Use only the designated test accounts and disposable test projects. Never test deletion, account changes, or permissions on your owner/admin account.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18" s="112" t="str">
        <x:v>Today is 2026-10-05. I am a complete beginner and I am following the YOW paid-launch plan. My only task today is: Provide the production Supabase session or access needed for the guided migration check. The result we need is: Deploy and verify scene concurrency and Security Definer hardening migrations; rerun database advisors.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18" s="112" t="str">
        <x:v>Deploy and verify scene concurrency and Security Definer hardening migrations; rerun database advisors.
Also required: Codex states that evidence was recorded and tells you to mark this task Done.</x:v>
      </x:c>
      <x:c r="H18" s="113" t="str">
        <x:v>Not started</x:v>
      </x:c>
      <x:c r="I18" s="112" t="str"/>
    </x:row>
    <x:row r="19" ht="150" customHeight="1">
      <x:c r="A19" s="109" t="n">
        <x:v>46301.5</x:v>
      </x:c>
      <x:c r="B19" s="110" t="str">
        <x:v>Week 2</x:v>
      </x:c>
      <x:c r="C19" s="114" t="str">
        <x:v>Data safety</x:v>
      </x:c>
      <x:c r="D19" s="112" t="str">
        <x:v>Prove that one user's work cannot overwrite, leak into, or disappear from another user's account or browser tab.</x:v>
      </x:c>
      <x:c r="E19"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Perform the guided two-tab same-scene edit test with the designated test account.
5. Safety rule: Use only the designated test accounts and disposable test projects. Never test deletion, account changes, or permissions on your owner/admin account.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19" s="112" t="str">
        <x:v>Today is 2026-10-06. I am a complete beginner and I am following the YOW paid-launch plan. My only task today is: Perform the guided two-tab same-scene edit test with the designated test account. The result we need is: Verify leases, stale-revision rejection, conflict-copy review, recovery, and no silent overwrite.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19" s="112" t="str">
        <x:v>Verify leases, stale-revision rejection, conflict-copy review, recovery, and no silent overwrite.
Also required: Codex states that evidence was recorded and tells you to mark this task Done.</x:v>
      </x:c>
      <x:c r="H19" s="113" t="str">
        <x:v>Not started</x:v>
      </x:c>
      <x:c r="I19" s="112" t="str"/>
    </x:row>
    <x:row r="20" ht="150" customHeight="1">
      <x:c r="A20" s="109" t="n">
        <x:v>46302.5</x:v>
      </x:c>
      <x:c r="B20" s="110" t="str">
        <x:v>Week 2</x:v>
      </x:c>
      <x:c r="C20" s="114" t="str">
        <x:v>Data safety</x:v>
      </x:c>
      <x:c r="D20" s="112" t="str">
        <x:v>Prove that one user's work cannot overwrite, leak into, or disappear from another user's account or browser tab.</x:v>
      </x:c>
      <x:c r="E20"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Perform the guided two-account isolation and account-switch test.
5. Safety rule: Use only the designated test accounts and disposable test projects. Never test deletion, account changes, or permissions on your owner/admin account.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20" s="112" t="str">
        <x:v>Today is 2026-10-07. I am a complete beginner and I am following the YOW paid-launch plan. My only task today is: Perform the guided two-account isolation and account-switch test. The result we need is: Verify auth isolation, local ownership, AI-key isolation, entitlement tampering rejection, and recovery.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20" s="112" t="str">
        <x:v>Verify auth isolation, local ownership, AI-key isolation, entitlement tampering rejection, and recovery.
Also required: Codex states that evidence was recorded and tells you to mark this task Done.</x:v>
      </x:c>
      <x:c r="H20" s="113" t="str">
        <x:v>Not started</x:v>
      </x:c>
      <x:c r="I20" s="112" t="str"/>
    </x:row>
    <x:row r="21" ht="150" customHeight="1">
      <x:c r="A21" s="109" t="n">
        <x:v>46303.5</x:v>
      </x:c>
      <x:c r="B21" s="110" t="str">
        <x:v>Week 2</x:v>
      </x:c>
      <x:c r="C21" s="114" t="str">
        <x:v>Data safety</x:v>
      </x:c>
      <x:c r="D21" s="112" t="str">
        <x:v>Prove that one user's work cannot overwrite, leak into, or disappear from another user's account or browser tab.</x:v>
      </x:c>
      <x:c r="E21"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Approve or defer the optional git-history rewrite after reviewing the auth-log result.
5. Safety rule: Use only the designated test accounts and disposable test projects. Never test deletion, account changes, or permissions on your owner/admin account.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21" s="112" t="str">
        <x:v>Today is 2026-10-08. I am a complete beginner and I am following the YOW paid-launch plan. My only task today is: Approve or defer the optional git-history rewrite after reviewing the auth-log result. The result we need is: Migrate the two missing production function definitions and review historical auth logs.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21" s="112" t="str">
        <x:v>Migrate the two missing production function definitions and review historical auth logs.
Also required: Codex states that evidence was recorded and tells you to mark this task Done.</x:v>
      </x:c>
      <x:c r="H21" s="113" t="str">
        <x:v>Not started</x:v>
      </x:c>
      <x:c r="I21" s="112" t="str"/>
    </x:row>
    <x:row r="22" ht="150" customHeight="1">
      <x:c r="A22" s="109" t="n">
        <x:v>46304.5</x:v>
      </x:c>
      <x:c r="B22" s="110" t="str">
        <x:v>Week 2</x:v>
      </x:c>
      <x:c r="C22" s="114" t="str">
        <x:v>Data safety</x:v>
      </x:c>
      <x:c r="D22" s="112" t="str">
        <x:v>Prove that one user's work cannot overwrite, leak into, or disappear from another user's account or browser tab.</x:v>
      </x:c>
      <x:c r="E22"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Sign off the plain-English data-safety evidence packet.
5. Safety rule: Use only the designated test accounts and disposable test projects. Never test deletion, account changes, or permissions on your owner/admin account.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22" s="112" t="str">
        <x:v>Today is 2026-10-09. I am a complete beginner and I am following the YOW paid-launch plan. My only task today is: Sign off the plain-English data-safety evidence packet. The result we need is: Close the week only if migrations, two-tab, two-account, destructive actions, and rollback evidence are clean.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22" s="112" t="str">
        <x:v>Close the week only if migrations, two-tab, two-account, destructive actions, and rollback evidence are clean.
Also required: Codex states that evidence was recorded and tells you to mark this task Done.</x:v>
      </x:c>
      <x:c r="H22" s="113" t="str">
        <x:v>Not started</x:v>
      </x:c>
      <x:c r="I22" s="112" t="str"/>
    </x:row>
    <x:row r="23" ht="150" customHeight="1">
      <x:c r="A23" s="109" t="n">
        <x:v>46305.5</x:v>
      </x:c>
      <x:c r="B23" s="110" t="str">
        <x:v>Week 2</x:v>
      </x:c>
      <x:c r="C23" s="114" t="str">
        <x:v>Data safety</x:v>
      </x:c>
      <x:c r="D23" s="112" t="str">
        <x:v>Prove that one user's work cannot overwrite, leak into, or disappear from another user's account or browser tab.</x:v>
      </x:c>
      <x:c r="E23"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Catch up the first unfinished Data Safety check, or review the evidence packet if the week is complete.
5. Safety rule: Use only the designated test accounts and disposable test projects. Never test deletion, account changes, or permissions on your owner/admin account.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23" s="112" t="str">
        <x:v>Today is 2026-10-10. I am a complete beginner and I am following the YOW paid-launch plan. My only task today is: Catch up the first unfinished Data Safety check, or review the evidence packet if the week is complete. The result we need is: Name any missing evidence precisely; do not replace a failed check with an accepted risk.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23" s="112" t="str">
        <x:v>Name any missing evidence precisely; do not replace a failed check with an accepted risk.
Also required: Codex states that evidence was recorded and tells you to mark this task Done.</x:v>
      </x:c>
      <x:c r="H23" s="113" t="str">
        <x:v>Not started</x:v>
      </x:c>
      <x:c r="I23" s="112" t="str"/>
    </x:row>
    <x:row r="24" ht="150" customHeight="1">
      <x:c r="A24" s="109" t="n">
        <x:v>46306.5</x:v>
      </x:c>
      <x:c r="B24" s="110" t="str">
        <x:v>Week 2</x:v>
      </x:c>
      <x:c r="C24" s="114" t="str">
        <x:v>Data safety</x:v>
      </x:c>
      <x:c r="D24" s="112" t="str">
        <x:v>Prove that one user's work cannot overwrite, leak into, or disappear from another user's account or browser tab.</x:v>
      </x:c>
      <x:c r="E24"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Prepare disposable files and projects for Cloud and Exports week.
5. Safety rule: Use only the designated test accounts and disposable test projects. Never test deletion, account changes, or permissions on your owner/admin account.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24" s="112" t="str">
        <x:v>Today is 2026-10-11. I am a complete beginner and I am following the YOW paid-launch plan. My only task today is: Prepare disposable files and projects for Cloud and Exports week. The result we need is: Have one clearly labelled test project, a small disposable image, and a safe download folder ready without changing production data.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24" s="112" t="str">
        <x:v>Have one clearly labelled test project, a small disposable image, and a safe download folder ready without changing production data.
Also required: Codex states that evidence was recorded and tells you to mark this task Done.</x:v>
      </x:c>
      <x:c r="H24" s="113" t="str">
        <x:v>Not started</x:v>
      </x:c>
      <x:c r="I24" s="112" t="str"/>
    </x:row>
    <x:row r="25" ht="150" customHeight="1">
      <x:c r="A25" s="109" t="n">
        <x:v>46307.5</x:v>
      </x:c>
      <x:c r="B25" s="110" t="str">
        <x:v>Week 3</x:v>
      </x:c>
      <x:c r="C25" s="115" t="str">
        <x:v>Cloud and exports</x:v>
      </x:c>
      <x:c r="D25" s="112" t="str">
        <x:v>Prove that files, backups, storage limits, imports, and account-expiry rules behave safely with real accounts.</x:v>
      </x:c>
      <x:c r="E25"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Test a real media upload, replacement, and deletion while watching the Storage figure.
5. Safety rule: Create or use disposable test data. Download a backup before any import, replacement, deletion, or expiry test.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25" s="112" t="str">
        <x:v>Today is 2026-10-12. I am a complete beginner and I am following the YOW paid-launch plan. My only task today is: Test a real media upload, replacement, and deletion while watching the Storage figure. The result we need is: Verify private-media RLS, cleanup, quota accounting, and signed rendering and export.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25" s="112" t="str">
        <x:v>Verify private-media RLS, cleanup, quota accounting, and signed rendering and export.
Also required: Codex states that evidence was recorded and tells you to mark this task Done.</x:v>
      </x:c>
      <x:c r="H25" s="113" t="str">
        <x:v>Not started</x:v>
      </x:c>
      <x:c r="I25" s="112" t="str"/>
    </x:row>
    <x:row r="26" ht="150" customHeight="1">
      <x:c r="A26" s="109" t="n">
        <x:v>46308.5</x:v>
      </x:c>
      <x:c r="B26" s="110" t="str">
        <x:v>Week 3</x:v>
      </x:c>
      <x:c r="C26" s="115" t="str">
        <x:v>Cloud and exports</x:v>
      </x:c>
      <x:c r="D26" s="112" t="str">
        <x:v>Prove that files, backups, storage limits, imports, and account-expiry rules behave safely with real accounts.</x:v>
      </x:c>
      <x:c r="E26"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Run one guided full-account export and open representative ZIP, DOCX, PDF, and World Bible outputs.
5. Safety rule: Create or use disposable test data. Download a backup before any import, replacement, deletion, or expiry test.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26" s="112" t="str">
        <x:v>Today is 2026-10-13. I am a complete beginner and I am following the YOW paid-launch plan. My only task today is: Run one guided full-account export and open representative ZIP, DOCX, PDF, and World Bible outputs. The result we need is: Verify completeness, readable documents, PDF privacy, and restorable ZIP ownership.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26" s="112" t="str">
        <x:v>Verify completeness, readable documents, PDF privacy, and restorable ZIP ownership.
Also required: Codex states that evidence was recorded and tells you to mark this task Done.</x:v>
      </x:c>
      <x:c r="H26" s="113" t="str">
        <x:v>Not started</x:v>
      </x:c>
      <x:c r="I26" s="112" t="str"/>
    </x:row>
    <x:row r="27" ht="150" customHeight="1">
      <x:c r="A27" s="109" t="n">
        <x:v>46309.5</x:v>
      </x:c>
      <x:c r="B27" s="110" t="str">
        <x:v>Week 3</x:v>
      </x:c>
      <x:c r="C27" s="115" t="str">
        <x:v>Cloud and exports</x:v>
      </x:c>
      <x:c r="D27" s="112" t="str">
        <x:v>Prove that files, backups, storage limits, imports, and account-expiry rules behave safely with real accounts.</x:v>
      </x:c>
      <x:c r="E27"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Run guided import-as-new, import-into-existing, and second-account collision checks.
5. Safety rule: Create or use disposable test data. Download a backup before any import, replacement, deletion, or expiry test.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27" s="112" t="str">
        <x:v>Today is 2026-10-14. I am a complete beginner and I am following the YOW paid-launch plan. My only task today is: Run guided import-as-new, import-into-existing, and second-account collision checks. The result we need is: Verify ID remapping, rollback, double-import behavior, and no cross-account or partial-write failure.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27" s="112" t="str">
        <x:v>Verify ID remapping, rollback, double-import behavior, and no cross-account or partial-write failure.
Also required: Codex states that evidence was recorded and tells you to mark this task Done.</x:v>
      </x:c>
      <x:c r="H27" s="113" t="str">
        <x:v>Not started</x:v>
      </x:c>
      <x:c r="I27" s="112" t="str"/>
    </x:row>
    <x:row r="28" ht="150" customHeight="1">
      <x:c r="A28" s="109" t="n">
        <x:v>46310.5</x:v>
      </x:c>
      <x:c r="B28" s="110" t="str">
        <x:v>Week 3</x:v>
      </x:c>
      <x:c r="C28" s="115" t="str">
        <x:v>Cloud and exports</x:v>
      </x:c>
      <x:c r="D28" s="112" t="str">
        <x:v>Prove that files, backups, storage limits, imports, and account-expiry rules behave safely with real accounts.</x:v>
      </x:c>
      <x:c r="E28"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Review the customer warning sequence for cloud expiry and inactive Free accounts.
5. Safety rule: Create or use disposable test data. Download a backup before any import, replacement, deletion, or expiry test.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28" s="112" t="str">
        <x:v>Today is 2026-10-15. I am a complete beginner and I am following the YOW paid-launch plan. My only task today is: Review the customer warning sequence for cloud expiry and inactive Free accounts. The result we need is: Complete and test notices, Export All, grace, archive or delete policy, and cloud-write shutdown.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28" s="112" t="str">
        <x:v>Complete and test notices, Export All, grace, archive or delete policy, and cloud-write shutdown.
Also required: Codex states that evidence was recorded and tells you to mark this task Done.</x:v>
      </x:c>
      <x:c r="H28" s="113" t="str">
        <x:v>Not started</x:v>
      </x:c>
      <x:c r="I28" s="112" t="str"/>
    </x:row>
    <x:row r="29" ht="150" customHeight="1">
      <x:c r="A29" s="109" t="n">
        <x:v>46311.5</x:v>
      </x:c>
      <x:c r="B29" s="110" t="str">
        <x:v>Week 3</x:v>
      </x:c>
      <x:c r="C29" s="115" t="str">
        <x:v>Cloud and exports</x:v>
      </x:c>
      <x:c r="D29" s="112" t="str">
        <x:v>Prove that files, backups, storage limits, imports, and account-expiry rules behave safely with real accounts.</x:v>
      </x:c>
      <x:c r="E29"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Approve the final cloud-expiry wording and evidence.
5. Safety rule: Create or use disposable test data. Download a backup before any import, replacement, deletion, or expiry test.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29" s="112" t="str">
        <x:v>Today is 2026-10-16. I am a complete beginner and I am following the YOW paid-launch plan. My only task today is: Approve the final cloud-expiry wording and evidence. The result we need is: Close export ownership and storage-limit gates or move the launch target by one week.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29" s="112" t="str">
        <x:v>Close export ownership and storage-limit gates or move the launch target by one week.
Also required: Codex states that evidence was recorded and tells you to mark this task Done.</x:v>
      </x:c>
      <x:c r="H29" s="113" t="str">
        <x:v>Not started</x:v>
      </x:c>
      <x:c r="I29" s="112" t="str"/>
    </x:row>
    <x:row r="30" ht="150" customHeight="1">
      <x:c r="A30" s="109" t="n">
        <x:v>46312.5</x:v>
      </x:c>
      <x:c r="B30" s="110" t="str">
        <x:v>Week 3</x:v>
      </x:c>
      <x:c r="C30" s="115" t="str">
        <x:v>Cloud and exports</x:v>
      </x:c>
      <x:c r="D30" s="112" t="str">
        <x:v>Prove that files, backups, storage limits, imports, and account-expiry rules behave safely with real accounts.</x:v>
      </x:c>
      <x:c r="E30"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Catch up the first unfinished cloud or export check, or review the completed export evidence.
5. Safety rule: Create or use disposable test data. Download a backup before any import, replacement, deletion, or expiry test.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30" s="112" t="str">
        <x:v>Today is 2026-10-17. I am a complete beginner and I am following the YOW paid-launch plan. My only task today is: Catch up the first unfinished cloud or export check, or review the completed export evidence. The result we need is: Confirm that the test ZIP and readable exports open successfully and that unresolved failures remain visible.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30" s="112" t="str">
        <x:v>Confirm that the test ZIP and readable exports open successfully and that unresolved failures remain visible.
Also required: Codex states that evidence was recorded and tells you to mark this task Done.</x:v>
      </x:c>
      <x:c r="H30" s="113" t="str">
        <x:v>Not started</x:v>
      </x:c>
      <x:c r="I30" s="112" t="str"/>
    </x:row>
    <x:row r="31" ht="150" customHeight="1">
      <x:c r="A31" s="109" t="n">
        <x:v>46313.5</x:v>
      </x:c>
      <x:c r="B31" s="110" t="str">
        <x:v>Week 3</x:v>
      </x:c>
      <x:c r="C31" s="115" t="str">
        <x:v>Cloud and exports</x:v>
      </x:c>
      <x:c r="D31" s="112" t="str">
        <x:v>Prove that files, backups, storage limits, imports, and account-expiry rules behave safely with real accounts.</x:v>
      </x:c>
      <x:c r="E31"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Prepare the clean or test Mac and an isolated YOW test folder for Desktop week.
5. Safety rule: Create or use disposable test data. Download a backup before any import, replacement, deletion, or expiry test.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31" s="112" t="str">
        <x:v>Today is 2026-10-18. I am a complete beginner and I am following the YOW paid-launch plan. My only task today is: Prepare the clean or test Mac and an isolated YOW test folder for Desktop week. The result we need is: Confirm the device has enough free space and that no real writing folder or only backup will be used.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31" s="112" t="str">
        <x:v>Confirm the device has enough free space and that no real writing folder or only backup will be used.
Also required: Codex states that evidence was recorded and tells you to mark this task Done.</x:v>
      </x:c>
      <x:c r="H31" s="113" t="str">
        <x:v>Not started</x:v>
      </x:c>
      <x:c r="I31" s="112" t="str"/>
    </x:row>
    <x:row r="32" ht="150" customHeight="1">
      <x:c r="A32" s="109" t="n">
        <x:v>46314.5</x:v>
      </x:c>
      <x:c r="B32" s="110" t="str">
        <x:v>Week 4</x:v>
      </x:c>
      <x:c r="C32" s="116" t="str">
        <x:v>Desktop Mac</x:v>
      </x:c>
      <x:c r="D32" s="112" t="str">
        <x:v>Prove the downloadable Mac app works as a complete writing application and keeps local work safe.</x:v>
      </x:c>
      <x:c r="E32"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Install the current macOS build on a clean or test Mac using only the written instructions.
5. Safety rule: Use a test build and an isolated test vault. Do not point the test app at your only copy of real writing.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32" s="112" t="str">
        <x:v>Today is 2026-10-19. I am a complete beginner and I am following the YOW paid-launch plan. My only task today is: Install the current macOS build on a clean or test Mac using only the written instructions. The result we need is: Expose and verify the full desktop project workspace, auth, library, and editing.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32" s="112" t="str">
        <x:v>Expose and verify the full desktop project workspace, auth, library, and editing.
Also required: Codex states that evidence was recorded and tells you to mark this task Done.</x:v>
      </x:c>
      <x:c r="H32" s="113" t="str">
        <x:v>Not started</x:v>
      </x:c>
      <x:c r="I32" s="112" t="str"/>
    </x:row>
    <x:row r="33" ht="150" customHeight="1">
      <x:c r="A33" s="109" t="n">
        <x:v>46315.5</x:v>
      </x:c>
      <x:c r="B33" s="110" t="str">
        <x:v>Week 4</x:v>
      </x:c>
      <x:c r="C33" s="116" t="str">
        <x:v>Desktop Mac</x:v>
      </x:c>
      <x:c r="D33" s="112" t="str">
        <x:v>Prove the downloadable Mac app works as a complete writing application and keeps local work safe.</x:v>
      </x:c>
      <x:c r="E33"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Test writing, quit and reopen, force-quit recovery, snapshot, restore, and vault relocation.
5. Safety rule: Use a test build and an isolated test vault. Do not point the test app at your only copy of real writing.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33" s="112" t="str">
        <x:v>Today is 2026-10-20. I am a complete beginner and I am following the YOW paid-launch plan. My only task today is: Test writing, quit and reopen, force-quit recovery, snapshot, restore, and vault relocation. The result we need is: Verify SQLite durability, integrity, WAL cleanup, folder warnings, and no data loss.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33" s="112" t="str">
        <x:v>Verify SQLite durability, integrity, WAL cleanup, folder warnings, and no data loss.
Also required: Codex states that evidence was recorded and tells you to mark this task Done.</x:v>
      </x:c>
      <x:c r="H33" s="113" t="str">
        <x:v>Not started</x:v>
      </x:c>
      <x:c r="I33" s="112" t="str"/>
    </x:row>
    <x:row r="34" ht="150" customHeight="1">
      <x:c r="A34" s="109" t="n">
        <x:v>46316.5</x:v>
      </x:c>
      <x:c r="B34" s="110" t="str">
        <x:v>Week 4</x:v>
      </x:c>
      <x:c r="C34" s="116" t="str">
        <x:v>Desktop Mac</x:v>
      </x:c>
      <x:c r="D34" s="112" t="str">
        <x:v>Prove the downloadable Mac app works as a complete writing application and keeps local work safe.</x:v>
      </x:c>
      <x:c r="E34"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Test native ZIP, DOCX, PDF, and map PNG saves from the packaged Mac app.
5. Safety rule: Use a test build and an isolated test vault. Do not point the test app at your only copy of real writing.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34" s="112" t="str">
        <x:v>Today is 2026-10-21. I am a complete beginner and I am following the YOW paid-launch plan. My only task today is: Test native ZIP, DOCX, PDF, and map PNG saves from the packaged Mac app. The result we need is: Verify native dialogs, cancellation and errors, file contents, and updater packaging.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34" s="112" t="str">
        <x:v>Verify native dialogs, cancellation and errors, file contents, and updater packaging.
Also required: Codex states that evidence was recorded and tells you to mark this task Done.</x:v>
      </x:c>
      <x:c r="H34" s="113" t="str">
        <x:v>Not started</x:v>
      </x:c>
      <x:c r="I34" s="112" t="str"/>
    </x:row>
    <x:row r="35" ht="150" customHeight="1">
      <x:c r="A35" s="109" t="n">
        <x:v>46317.5</x:v>
      </x:c>
      <x:c r="B35" s="110" t="str">
        <x:v>Week 4</x:v>
      </x:c>
      <x:c r="C35" s="116" t="str">
        <x:v>Desktop Mac</x:v>
      </x:c>
      <x:c r="D35" s="112" t="str">
        <x:v>Prove the downloadable Mac app works as a complete writing application and keeps local work safe.</x:v>
      </x:c>
      <x:c r="E35"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Run the guided Local Mode, lapse, web edit, renewal, and merge-conflict scenario.
5. Safety rule: Use a test build and an isolated test vault. Do not point the test app at your only copy of real writing.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35" s="112" t="str">
        <x:v>Today is 2026-10-22. I am a complete beginner and I am following the YOW paid-launch plan. My only task today is: Run the guided Local Mode, lapse, web edit, renewal, and merge-conflict scenario. The result we need is: Verify no cloud writes while lapsed, cold-start resume, retries, conflicts, and automatic sync restoration.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35" s="112" t="str">
        <x:v>Verify no cloud writes while lapsed, cold-start resume, retries, conflicts, and automatic sync restoration.
Also required: Codex states that evidence was recorded and tells you to mark this task Done.</x:v>
      </x:c>
      <x:c r="H35" s="113" t="str">
        <x:v>Not started</x:v>
      </x:c>
      <x:c r="I35" s="112" t="str"/>
    </x:row>
    <x:row r="36" ht="150" customHeight="1">
      <x:c r="A36" s="109" t="n">
        <x:v>46318.5</x:v>
      </x:c>
      <x:c r="B36" s="110" t="str">
        <x:v>Week 4</x:v>
      </x:c>
      <x:c r="C36" s="116" t="str">
        <x:v>Desktop Mac</x:v>
      </x:c>
      <x:c r="D36" s="112" t="str">
        <x:v>Prove the downloadable Mac app works as a complete writing application and keeps local work safe.</x:v>
      </x:c>
      <x:c r="E36"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Approve Mac install and disclosure instructions after a clean-machine pass.
5. Safety rule: Use a test build and an isolated test vault. Do not point the test app at your only copy of real writing.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36" s="112" t="str">
        <x:v>Today is 2026-10-23. I am a complete beginner and I am following the YOW paid-launch plan. My only task today is: Approve Mac install and disclosure instructions after a clean-machine pass. The result we need is: Produce versioned Mac artifacts, hashes, provenance, updater metadata, and a desktop report.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36" s="112" t="str">
        <x:v>Produce versioned Mac artifacts, hashes, provenance, updater metadata, and a desktop report.
Also required: Codex states that evidence was recorded and tells you to mark this task Done.</x:v>
      </x:c>
      <x:c r="H36" s="113" t="str">
        <x:v>Not started</x:v>
      </x:c>
      <x:c r="I36" s="112" t="str"/>
    </x:row>
    <x:row r="37" ht="150" customHeight="1">
      <x:c r="A37" s="109" t="n">
        <x:v>46319.5</x:v>
      </x:c>
      <x:c r="B37" s="110" t="str">
        <x:v>Week 4</x:v>
      </x:c>
      <x:c r="C37" s="116" t="str">
        <x:v>Desktop Mac</x:v>
      </x:c>
      <x:c r="D37" s="112" t="str">
        <x:v>Prove the downloadable Mac app works as a complete writing application and keeps local work safe.</x:v>
      </x:c>
      <x:c r="E37"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Catch up the first unfinished Mac check, or review the Mac evidence and record the exact remaining gap.
5. Safety rule: Use a test build and an isolated test vault. Do not point the test app at your only copy of real writing.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37" s="112" t="str">
        <x:v>Today is 2026-10-24. I am a complete beginner and I am following the YOW paid-launch plan. My only task today is: Catch up the first unfinished Mac check, or review the Mac evidence and record the exact remaining gap. The result we need is: Leave the Mac gate open unless install, workspace, persistence, restore, export, and updater evidence are all present.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37" s="112" t="str">
        <x:v>Leave the Mac gate open unless install, workspace, persistence, restore, export, and updater evidence are all present.
Also required: Codex states that evidence was recorded and tells you to mark this task Done.</x:v>
      </x:c>
      <x:c r="H37" s="113" t="str">
        <x:v>Not started</x:v>
      </x:c>
      <x:c r="I37" s="112" t="str"/>
    </x:row>
    <x:row r="38" ht="150" customHeight="1">
      <x:c r="A38" s="109" t="n">
        <x:v>46320.5</x:v>
      </x:c>
      <x:c r="B38" s="110" t="str">
        <x:v>Week 4</x:v>
      </x:c>
      <x:c r="C38" s="116" t="str">
        <x:v>Desktop Mac</x:v>
      </x:c>
      <x:c r="D38" s="112" t="str">
        <x:v>Prove the downloadable Mac app works as a complete writing application and keeps local work safe.</x:v>
      </x:c>
      <x:c r="E38"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Prepare access to a clean or test Windows computer and read the SmartScreen test instructions.
5. Safety rule: Use a test build and an isolated test vault. Do not point the test app at your only copy of real writing.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38" s="112" t="str">
        <x:v>Today is 2026-10-25. I am a complete beginner and I am following the YOW paid-launch plan. My only task today is: Prepare access to a clean or test Windows computer and read the SmartScreen test instructions. The result we need is: Confirm who will run the Windows check and that it will use disposable data; do not install or publish anything tonight.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38" s="112" t="str">
        <x:v>Confirm who will run the Windows check and that it will use disposable data; do not install or publish anything tonight.
Also required: Codex states that evidence was recorded and tells you to mark this task Done.</x:v>
      </x:c>
      <x:c r="H38" s="113" t="str">
        <x:v>Not started</x:v>
      </x:c>
      <x:c r="I38" s="112" t="str"/>
    </x:row>
    <x:row r="39" ht="150" customHeight="1">
      <x:c r="A39" s="109" t="n">
        <x:v>46321.5</x:v>
      </x:c>
      <x:c r="B39" s="110" t="str">
        <x:v>Week 5</x:v>
      </x:c>
      <x:c r="C39" s="117" t="str">
        <x:v>Desktop and project types</x:v>
      </x:c>
      <x:c r="D39" s="112" t="str">
        <x:v>Finish Windows desktop checks and prove each kind of YOW project behaves as advertised.</x:v>
      </x:c>
      <x:c r="E39"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Arrange or perform the clean Windows install using the written SmartScreen steps.
5. Safety rule: Use a test build and an isolated test vault. Do not point the test app at your only copy of real writing.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39" s="112" t="str">
        <x:v>Today is 2026-10-26. I am a complete beginner and I am following the YOW paid-launch plan. My only task today is: Arrange or perform the clean Windows install using the written SmartScreen steps. The result we need is: Verify Windows install, WebView2, workspace, exports, updater, upgrade, and uninstall.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39" s="112" t="str">
        <x:v>Verify Windows install, WebView2, workspace, exports, updater, upgrade, and uninstall.
Also required: Codex states that evidence was recorded and tells you to mark this task Done.</x:v>
      </x:c>
      <x:c r="H39" s="113" t="str">
        <x:v>Not started</x:v>
      </x:c>
      <x:c r="I39" s="112" t="str"/>
    </x:row>
    <x:row r="40" ht="150" customHeight="1">
      <x:c r="A40" s="109" t="n">
        <x:v>46322.5</x:v>
      </x:c>
      <x:c r="B40" s="110" t="str">
        <x:v>Week 5</x:v>
      </x:c>
      <x:c r="C40" s="117" t="str">
        <x:v>Desktop and project types</x:v>
      </x:c>
      <x:c r="D40" s="112" t="str">
        <x:v>Finish Windows desktop checks and prove each kind of YOW project behaves as advertised.</x:v>
      </x:c>
      <x:c r="E40"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Confirm the download page shows correct files and unsigned-app disclosure to an entitled account.
5. Safety rule: Use a test build and an isolated test vault. Do not point the test app at your only copy of real writing.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40" s="112" t="str">
        <x:v>Today is 2026-10-27. I am a complete beginner and I am following the YOW paid-launch plan. My only task today is: Confirm the download page shows correct files and unsigned-app disclosure to an entitled account. The result we need is: Configure final download URLs and verify server-side entitlement gating.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40" s="112" t="str">
        <x:v>Configure final download URLs and verify server-side entitlement gating.
Also required: Codex states that evidence was recorded and tells you to mark this task Done.</x:v>
      </x:c>
      <x:c r="H40" s="113" t="str">
        <x:v>Not started</x:v>
      </x:c>
      <x:c r="I40" s="112" t="str"/>
    </x:row>
    <x:row r="41" ht="150" customHeight="1">
      <x:c r="A41" s="109" t="n">
        <x:v>46323.5</x:v>
      </x:c>
      <x:c r="B41" s="110" t="str">
        <x:v>Week 5</x:v>
      </x:c>
      <x:c r="C41" s="117" t="str">
        <x:v>Desktop and project types</x:v>
      </x:c>
      <x:c r="D41" s="112" t="str">
        <x:v>Finish Windows desktop checks and prove each kind of YOW project behaves as advertised.</x:v>
      </x:c>
      <x:c r="E41"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Test Novella and Short Story create, write, default-sections, and export flows.
5. Safety rule: Use a test build and an isolated test vault. Do not point the test app at your only copy of real writing.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41" s="112" t="str">
        <x:v>Today is 2026-10-28. I am a complete beginner and I am following the YOW paid-launch plan. My only task today is: Test Novella and Short Story create, write, default-sections, and export flows. The result we need is: Close type-specific structure, template, navigation, persistence, and export checks.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41" s="112" t="str">
        <x:v>Close type-specific structure, template, navigation, persistence, and export checks.
Also required: Codex states that evidence was recorded and tells you to mark this task Done.</x:v>
      </x:c>
      <x:c r="H41" s="113" t="str">
        <x:v>Not started</x:v>
      </x:c>
      <x:c r="I41" s="112" t="str"/>
    </x:row>
    <x:row r="42" ht="150" customHeight="1">
      <x:c r="A42" s="109" t="n">
        <x:v>46324.5</x:v>
      </x:c>
      <x:c r="B42" s="110" t="str">
        <x:v>Week 5</x:v>
      </x:c>
      <x:c r="C42" s="117" t="str">
        <x:v>Desktop and project types</x:v>
      </x:c>
      <x:c r="D42" s="112" t="str">
        <x:v>Finish Windows desktop checks and prove each kind of YOW project behaves as advertised.</x:v>
      </x:c>
      <x:c r="E42"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Test D&amp;D and TTRPG prep and recap, Character Builder, map sections, and export.
5. Safety rule: Use a test build and an isolated test vault. Do not point the test app at your only copy of real writing.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42" s="112" t="str">
        <x:v>Today is 2026-10-29. I am a complete beginner and I am following the YOW paid-launch plan. My only task today is: Test D&amp;D and TTRPG prep and recap, Character Builder, map sections, and export. The result we need is: Close campaign persistence, language, AI context, and public-copy checks.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42" s="112" t="str">
        <x:v>Close campaign persistence, language, AI context, and public-copy checks.
Also required: Codex states that evidence was recorded and tells you to mark this task Done.</x:v>
      </x:c>
      <x:c r="H42" s="113" t="str">
        <x:v>Not started</x:v>
      </x:c>
      <x:c r="I42" s="112" t="str"/>
    </x:row>
    <x:row r="43" ht="150" customHeight="1">
      <x:c r="A43" s="109" t="n">
        <x:v>46325.5</x:v>
      </x:c>
      <x:c r="B43" s="110" t="str">
        <x:v>Week 5</x:v>
      </x:c>
      <x:c r="C43" s="117" t="str">
        <x:v>Desktop and project types</x:v>
      </x:c>
      <x:c r="D43" s="112" t="str">
        <x:v>Finish Windows desktop checks and prove each kind of YOW project behaves as advertised.</x:v>
      </x:c>
      <x:c r="E43"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Test Novel and Comic workflows and approve the six-type evidence matrix.
5. Safety rule: Use a test build and an isolated test vault. Do not point the test app at your only copy of real writing.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43" s="112" t="str">
        <x:v>Today is 2026-10-30. I am a complete beginner and I am following the YOW paid-launch plan. My only task today is: Test Novel and Comic workflows and approve the six-type evidence matrix. The result we need is: Close live-Supabase and realistic-load checks across all six project types.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43" s="112" t="str">
        <x:v>Close live-Supabase and realistic-load checks across all six project types.
Also required: Codex states that evidence was recorded and tells you to mark this task Done.</x:v>
      </x:c>
      <x:c r="H43" s="113" t="str">
        <x:v>Not started</x:v>
      </x:c>
      <x:c r="I43" s="112" t="str"/>
    </x:row>
    <x:row r="44" ht="150" customHeight="1">
      <x:c r="A44" s="109" t="n">
        <x:v>46326.5</x:v>
      </x:c>
      <x:c r="B44" s="110" t="str">
        <x:v>Week 5</x:v>
      </x:c>
      <x:c r="C44" s="117" t="str">
        <x:v>Desktop and project types</x:v>
      </x:c>
      <x:c r="D44" s="112" t="str">
        <x:v>Finish Windows desktop checks and prove each kind of YOW project behaves as advertised.</x:v>
      </x:c>
      <x:c r="E44"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Review the six-project-type evidence matrix and identify only the first missing proof.
5. Safety rule: Use a test build and an isolated test vault. Do not point the test app at your only copy of real writing.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44" s="112" t="str">
        <x:v>Today is 2026-10-31. I am a complete beginner and I am following the YOW paid-launch plan. My only task today is: Review the six-project-type evidence matrix and identify only the first missing proof. The result we need is: Keep all six promised types in scope unless an explicit product decision removes one; do not add new project types.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44" s="112" t="str">
        <x:v>Keep all six promised types in scope unless an explicit product decision removes one; do not add new project types.
Also required: Codex states that evidence was recorded and tells you to mark this task Done.</x:v>
      </x:c>
      <x:c r="H44" s="113" t="str">
        <x:v>Not started</x:v>
      </x:c>
      <x:c r="I44" s="112" t="str"/>
    </x:row>
    <x:row r="45" ht="150" customHeight="1">
      <x:c r="A45" s="109" t="n">
        <x:v>46327.5</x:v>
      </x:c>
      <x:c r="B45" s="110" t="str">
        <x:v>Week 5</x:v>
      </x:c>
      <x:c r="C45" s="117" t="str">
        <x:v>Desktop and project types</x:v>
      </x:c>
      <x:c r="D45" s="112" t="str">
        <x:v>Finish Windows desktop checks and prove each kind of YOW project behaves as advertised.</x:v>
      </x:c>
      <x:c r="E45"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Prepare a realistic disposable project and the phone, tablet, and desktop devices needed for Product Acceptance week.
5. Safety rule: Use a test build and an isolated test vault. Do not point the test app at your only copy of real writing.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45" s="112" t="str">
        <x:v>Today is 2026-11-01. I am a complete beginner and I am following the YOW paid-launch plan. My only task today is: Prepare a realistic disposable project and the phone, tablet, and desktop devices needed for Product Acceptance week. The result we need is: Have safe test data and devices ready without importing personal writing or changing live customer data.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45" s="112" t="str">
        <x:v>Have safe test data and devices ready without importing personal writing or changing live customer data.
Also required: Codex states that evidence was recorded and tells you to mark this task Done.</x:v>
      </x:c>
      <x:c r="H45" s="113" t="str">
        <x:v>Not started</x:v>
      </x:c>
      <x:c r="I45" s="112" t="str"/>
    </x:row>
    <x:row r="46" ht="150" customHeight="1">
      <x:c r="A46" s="109" t="n">
        <x:v>46328.5</x:v>
      </x:c>
      <x:c r="B46" s="110" t="str">
        <x:v>Week 6</x:v>
      </x:c>
      <x:c r="C46" s="118" t="str">
        <x:v>Product acceptance</x:v>
      </x:c>
      <x:c r="D46" s="112" t="str">
        <x:v>Use the major features like a customer would and decide whether any unfinished promise must be fixed or removed from launch copy.</x:v>
      </x:c>
      <x:c r="E46"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Test the rebuilt Map Builder using the owner acceptance checklist.
5. Safety rule: Do not run terminal commands, edit code, or change production settings yourself. Codex handles technical work and explains any owner-only click before you make it.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46" s="112" t="str">
        <x:v>Today is 2026-11-02. I am a complete beginner and I am following the YOW paid-launch plan. My only task today is: Test the rebuilt Map Builder using the owner acceptance checklist. The result we need is: Close creation, editing, layers, interaction, persistence, responsive, and export checks.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46" s="112" t="str">
        <x:v>Close creation, editing, layers, interaction, persistence, responsive, and export checks.
Also required: Codex states that evidence was recorded and tells you to mark this task Done.</x:v>
      </x:c>
      <x:c r="H46" s="113" t="str">
        <x:v>Not started</x:v>
      </x:c>
      <x:c r="I46" s="112" t="str"/>
    </x:row>
    <x:row r="47" ht="150" customHeight="1">
      <x:c r="A47" s="109" t="n">
        <x:v>46329.5</x:v>
      </x:c>
      <x:c r="B47" s="110" t="str">
        <x:v>Week 6</x:v>
      </x:c>
      <x:c r="C47" s="118" t="str">
        <x:v>Product acceptance</x:v>
      </x:c>
      <x:c r="D47" s="112" t="str">
        <x:v>Use the major features like a customer would and decide whether any unfinished promise must be fixed or removed from launch copy.</x:v>
      </x:c>
      <x:c r="E47"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Perform one realistic large-project session across every core workspace.
5. Safety rule: Do not run terminal commands, edit code, or change production settings yourself. Codex handles technical work and explains any owner-only click before you make it.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47" s="112" t="str">
        <x:v>Today is 2026-11-03. I am a complete beginner and I am following the YOW paid-launch plan. My only task today is: Perform one realistic large-project session across every core workspace. The result we need is: Record timings, resolve release-blocking lag, and decide the very-large-single-scene limit.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47" s="112" t="str">
        <x:v>Record timings, resolve release-blocking lag, and decide the very-large-single-scene limit.
Also required: Codex states that evidence was recorded and tells you to mark this task Done.</x:v>
      </x:c>
      <x:c r="H47" s="113" t="str">
        <x:v>Not started</x:v>
      </x:c>
      <x:c r="I47" s="112" t="str"/>
    </x:row>
    <x:row r="48" ht="150" customHeight="1">
      <x:c r="A48" s="109" t="n">
        <x:v>46330.5</x:v>
      </x:c>
      <x:c r="B48" s="110" t="str">
        <x:v>Week 6</x:v>
      </x:c>
      <x:c r="C48" s="118" t="str">
        <x:v>Product acceptance</x:v>
      </x:c>
      <x:c r="D48" s="112" t="str">
        <x:v>Use the major features like a customer would and decide whether any unfinished promise must be fixed or removed from launch copy.</x:v>
      </x:c>
      <x:c r="E48"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Test each AI provider you intend to advertise; remove any provider you cannot verify.
5. Safety rule: Do not run terminal commands, edit code, or change production settings yourself. Codex handles technical work and explains any owner-only click before you make it.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48" s="112" t="str">
        <x:v>Today is 2026-11-04. I am a complete beginner and I am following the YOW paid-launch plan. My only task today is: Test each AI provider you intend to advertise; remove any provider you cannot verify. The result we need is: Verify proxy auth, secrets, streaming, errors, context, disclosures, and persistence.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48" s="112" t="str">
        <x:v>Verify proxy auth, secrets, streaming, errors, context, disclosures, and persistence.
Also required: Codex states that evidence was recorded and tells you to mark this task Done.</x:v>
      </x:c>
      <x:c r="H48" s="113" t="str">
        <x:v>Not started</x:v>
      </x:c>
      <x:c r="I48" s="112" t="str"/>
    </x:row>
    <x:row r="49" ht="150" customHeight="1">
      <x:c r="A49" s="109" t="n">
        <x:v>46331.5</x:v>
      </x:c>
      <x:c r="B49" s="110" t="str">
        <x:v>Week 6</x:v>
      </x:c>
      <x:c r="C49" s="118" t="str">
        <x:v>Product acceptance</x:v>
      </x:c>
      <x:c r="D49" s="112" t="str">
        <x:v>Use the major features like a customer would and decide whether any unfinished promise must be fixed or removed from launch copy.</x:v>
      </x:c>
      <x:c r="E49"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Perform the guided phone, tablet, desktop, and accessibility pass.
5. Safety rule: Do not run terminal commands, edit code, or change production settings yourself. Codex handles technical work and explains any owner-only click before you make it.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49" s="112" t="str">
        <x:v>Today is 2026-11-05. I am a complete beginner and I am following the YOW paid-launch plan. My only task today is: Perform the guided phone, tablet, desktop, and accessibility pass. The result we need is: Close responsive, real-iPhone, keyboard, focus, screen-reader, contrast, and theme checks.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49" s="112" t="str">
        <x:v>Close responsive, real-iPhone, keyboard, focus, screen-reader, contrast, and theme checks.
Also required: Codex states that evidence was recorded and tells you to mark this task Done.</x:v>
      </x:c>
      <x:c r="H49" s="113" t="str">
        <x:v>Not started</x:v>
      </x:c>
      <x:c r="I49" s="112" t="str"/>
    </x:row>
    <x:row r="50" ht="150" customHeight="1">
      <x:c r="A50" s="109" t="n">
        <x:v>46332.5</x:v>
      </x:c>
      <x:c r="B50" s="110" t="str">
        <x:v>Week 6</x:v>
      </x:c>
      <x:c r="C50" s="118" t="str">
        <x:v>Product acceptance</x:v>
      </x:c>
      <x:c r="D50" s="112" t="str">
        <x:v>Use the major features like a customer would and decide whether any unfinished promise must be fixed or removed from launch copy.</x:v>
      </x:c>
      <x:c r="E50"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Approve the feature-completeness report or remove an unready promise from launch.
5. Safety rule: Do not run terminal commands, edit code, or change production settings yourself. Codex handles technical work and explains any owner-only click before you make it.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50" s="112" t="str">
        <x:v>Today is 2026-11-06. I am a complete beginner and I am following the YOW paid-launch plan. My only task today is: Approve the feature-completeness report or remove an unready promise from launch. The result we need is: Close remaining worldbuilding, series, focused-writing, schedule, and AI-import gaps.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50" s="112" t="str">
        <x:v>Close remaining worldbuilding, series, focused-writing, schedule, and AI-import gaps.
Also required: Codex states that evidence was recorded and tells you to mark this task Done.</x:v>
      </x:c>
      <x:c r="H50" s="113" t="str">
        <x:v>Not started</x:v>
      </x:c>
      <x:c r="I50" s="112" t="str"/>
    </x:row>
    <x:row r="51" ht="150" customHeight="1">
      <x:c r="A51" s="109" t="n">
        <x:v>46333.5</x:v>
      </x:c>
      <x:c r="B51" s="110" t="str">
        <x:v>Week 6</x:v>
      </x:c>
      <x:c r="C51" s="118" t="str">
        <x:v>Product acceptance</x:v>
      </x:c>
      <x:c r="D51" s="112" t="str">
        <x:v>Use the major features like a customer would and decide whether any unfinished promise must be fixed or removed from launch copy.</x:v>
      </x:c>
      <x:c r="E51"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Catch up the first unfinished product-acceptance check, or review the feature-completeness evidence.
5. Safety rule: Do not run terminal commands, edit code, or change production settings yourself. Codex handles technical work and explains any owner-only click before you make it.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51" s="112" t="str">
        <x:v>Today is 2026-11-07. I am a complete beginner and I am following the YOW paid-launch plan. My only task today is: Catch up the first unfinished product-acceptance check, or review the feature-completeness evidence. The result we need is: Record the first remaining blocker or verification gap without expanding the feature list.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51" s="112" t="str">
        <x:v>Record the first remaining blocker or verification gap without expanding the feature list.
Also required: Codex states that evidence was recorded and tells you to mark this task Done.</x:v>
      </x:c>
      <x:c r="H51" s="113" t="str">
        <x:v>Not started</x:v>
      </x:c>
      <x:c r="I51" s="112" t="str"/>
    </x:row>
    <x:row r="52" ht="150" customHeight="1">
      <x:c r="A52" s="109" t="n">
        <x:v>46334.5</x:v>
      </x:c>
      <x:c r="B52" s="110" t="str">
        <x:v>Week 6</x:v>
      </x:c>
      <x:c r="C52" s="118" t="str">
        <x:v>Product acceptance</x:v>
      </x:c>
      <x:c r="D52" s="112" t="str">
        <x:v>Use the major features like a customer would and decide whether any unfinished promise must be fixed or removed from launch copy.</x:v>
      </x:c>
      <x:c r="E52"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Prepare the customer-copy review checklist for Legal and Release Candidate week.
5. Safety rule: Do not run terminal commands, edit code, or change production settings yourself. Codex handles technical work and explains any owner-only click before you make it.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52" s="112" t="str">
        <x:v>Today is 2026-11-08. I am a complete beginner and I am following the YOW paid-launch plan. My only task today is: Prepare the customer-copy review checklist for Legal and Release Candidate week. The result we need is: Open the current Pricing, FAQ, Terms, Privacy, cancellation, storage, Local Mode, Founder, AI, and export wording for tomorrow; make no public edits.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52" s="112" t="str">
        <x:v>Open the current Pricing, FAQ, Terms, Privacy, cancellation, storage, Local Mode, Founder, AI, and export wording for tomorrow; make no public edits.
Also required: Codex states that evidence was recorded and tells you to mark this task Done.</x:v>
      </x:c>
      <x:c r="H52" s="113" t="str">
        <x:v>Not started</x:v>
      </x:c>
      <x:c r="I52" s="112" t="str"/>
    </x:row>
    <x:row r="53" ht="150" customHeight="1">
      <x:c r="A53" s="109" t="n">
        <x:v>46335.5</x:v>
      </x:c>
      <x:c r="B53" s="110" t="str">
        <x:v>Week 7</x:v>
      </x:c>
      <x:c r="C53" s="119" t="str">
        <x:v>Legal and release candidate</x:v>
      </x:c>
      <x:c r="D53" s="112" t="str">
        <x:v>Freeze the words, prices, policies, and exact version that will be offered to customers.</x:v>
      </x:c>
      <x:c r="E53"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Read Pricing, FAQ, Terms, Privacy, cancellation, storage, Local Mode, Founder, AI, and export copy as a customer.
5. Safety rule: Nothing is published and no live payment setting is changed unless the day's instructions explicitly say so.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53" s="112" t="str">
        <x:v>Today is 2026-11-09. I am a complete beginner and I am following the YOW paid-launch plan. My only task today is: Read Pricing, FAQ, Terms, Privacy, cancellation, storage, Local Mode, Founder, AI, and export copy as a customer. The result we need is: Deliver one reconciled legal and promise packet with no behavior-copy contradictions.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53" s="112" t="str">
        <x:v>Deliver one reconciled legal and promise packet with no behavior-copy contradictions.
Also required: Codex states that evidence was recorded and tells you to mark this task Done.</x:v>
      </x:c>
      <x:c r="H53" s="113" t="str">
        <x:v>Not started</x:v>
      </x:c>
      <x:c r="I53" s="112" t="str"/>
    </x:row>
    <x:row r="54" ht="150" customHeight="1">
      <x:c r="A54" s="109" t="n">
        <x:v>46336.5</x:v>
      </x:c>
      <x:c r="B54" s="110" t="str">
        <x:v>Week 7</x:v>
      </x:c>
      <x:c r="C54" s="119" t="str">
        <x:v>Legal and release candidate</x:v>
      </x:c>
      <x:c r="D54" s="112" t="str">
        <x:v>Freeze the words, prices, policies, and exact version that will be offered to customers.</x:v>
      </x:c>
      <x:c r="E54"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Approve final copy and business identity and contact details.
5. Safety rule: Nothing is published and no live payment setting is changed unless the day's instructions explicitly say so.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54" s="112" t="str">
        <x:v>Today is 2026-11-10. I am a complete beginner and I am following the YOW paid-launch plan. My only task today is: Approve final copy and business identity and contact details. The result we need is: Freeze legal and marketing copy and verify every public claim.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54" s="112" t="str">
        <x:v>Freeze legal and marketing copy and verify every public claim.
Also required: Codex states that evidence was recorded and tells you to mark this task Done.</x:v>
      </x:c>
      <x:c r="H54" s="113" t="str">
        <x:v>Not started</x:v>
      </x:c>
      <x:c r="I54" s="112" t="str"/>
    </x:row>
    <x:row r="55" ht="150" customHeight="1">
      <x:c r="A55" s="109" t="n">
        <x:v>46337.5</x:v>
      </x:c>
      <x:c r="B55" s="110" t="str">
        <x:v>Week 7</x:v>
      </x:c>
      <x:c r="C55" s="119" t="str">
        <x:v>Legal and release candidate</x:v>
      </x:c>
      <x:c r="D55" s="112" t="str">
        <x:v>Freeze the words, prices, policies, and exact version that will be offered to customers.</x:v>
      </x:c>
      <x:c r="E55"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Work through the guided Stripe test-mode checklist one dashboard step at a time.
5. Safety rule: Nothing is published and no live payment setting is changed unless the day's instructions explicitly say so.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55" s="112" t="str">
        <x:v>Today is 2026-11-11. I am a complete beginner and I am following the YOW paid-launch plan. My only task today is: Work through the guided Stripe test-mode checklist one dashboard step at a time. The result we need is: Verify plans, renewal, failure, replay, refunds, disputes, and Founder allocation.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55" s="112" t="str">
        <x:v>Verify plans, renewal, failure, replay, refunds, disputes, and Founder allocation.
Also required: Codex states that evidence was recorded and tells you to mark this task Done.</x:v>
      </x:c>
      <x:c r="H55" s="113" t="str">
        <x:v>Not started</x:v>
      </x:c>
      <x:c r="I55" s="112" t="str"/>
    </x:row>
    <x:row r="56" ht="150" customHeight="1">
      <x:c r="A56" s="109" t="n">
        <x:v>46338.5</x:v>
      </x:c>
      <x:c r="B56" s="110" t="str">
        <x:v>Week 7</x:v>
      </x:c>
      <x:c r="C56" s="119" t="str">
        <x:v>Legal and release candidate</x:v>
      </x:c>
      <x:c r="D56" s="112" t="str">
        <x:v>Freeze the words, prices, policies, and exact version that will be offered to customers.</x:v>
      </x:c>
      <x:c r="E56"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Approve beta-graduation email, launch announcement, pricing message, screenshots, and support template.
5. Safety rule: Nothing is published and no live payment setting is changed unless the day's instructions explicitly say so.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56" s="112" t="str">
        <x:v>Today is 2026-11-12. I am a complete beginner and I am following the YOW paid-launch plan. My only task today is: Approve beta-graduation email, launch announcement, pricing message, screenshots, and support template. The result we need is: Prepare reversible Beta closure and tester migration scripts without running them.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56" s="112" t="str">
        <x:v>Prepare reversible Beta closure and tester migration scripts without running them.
Also required: Codex states that evidence was recorded and tells you to mark this task Done.</x:v>
      </x:c>
      <x:c r="H56" s="113" t="str">
        <x:v>Not started</x:v>
      </x:c>
      <x:c r="I56" s="112" t="str"/>
    </x:row>
    <x:row r="57" ht="150" customHeight="1">
      <x:c r="A57" s="109" t="n">
        <x:v>46339.5</x:v>
      </x:c>
      <x:c r="B57" s="110" t="str">
        <x:v>Week 7</x:v>
      </x:c>
      <x:c r="C57" s="119" t="str">
        <x:v>Legal and release candidate</x:v>
      </x:c>
      <x:c r="D57" s="112" t="str">
        <x:v>Freeze the words, prices, policies, and exact version that will be offered to customers.</x:v>
      </x:c>
      <x:c r="E57"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Hold the formal go or no-go review and say go only if every hard gate has evidence.
5. Safety rule: Nothing is published and no live payment setting is changed unless the day's instructions explicitly say so.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57" s="112" t="str">
        <x:v>Today is 2026-11-13. I am a complete beginner and I am following the YOW paid-launch plan. My only task today is: Hold the formal go or no-go review and say go only if every hard gate has evidence. The result we need is: Freeze Release Candidate 1. A no-go moves later dates by one week without shortening the runway.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57" s="112" t="str">
        <x:v>Freeze Release Candidate 1. A no-go moves later dates by one week without shortening the runway.
Also required: Codex states that evidence was recorded and tells you to mark this task Done.</x:v>
      </x:c>
      <x:c r="H57" s="113" t="str">
        <x:v>Not started</x:v>
      </x:c>
      <x:c r="I57" s="112" t="str"/>
    </x:row>
    <x:row r="58" ht="150" customHeight="1">
      <x:c r="A58" s="109" t="n">
        <x:v>46340.5</x:v>
      </x:c>
      <x:c r="B58" s="110" t="str">
        <x:v>Week 7</x:v>
      </x:c>
      <x:c r="C58" s="119" t="str">
        <x:v>Legal and release candidate</x:v>
      </x:c>
      <x:c r="D58" s="112" t="str">
        <x:v>Freeze the words, prices, policies, and exact version that will be offered to customers.</x:v>
      </x:c>
      <x:c r="E58"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Record the go or no-go result and check that every later date follows it.
5. Safety rule: Nothing is published and no live payment setting is changed unless the day's instructions explicitly say so.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58" s="112" t="str">
        <x:v>Today is 2026-11-14. I am a complete beginner and I am following the YOW paid-launch plan. My only task today is: Record the go or no-go result and check that every later date follows it. The result we need is: If no-go, preserve the order and move the runway; if go, prepare Monday's reversible Beta-enrollment closure without running it.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58" s="112" t="str">
        <x:v>If no-go, preserve the order and move the runway; if go, prepare Monday's reversible Beta-enrollment closure without running it.
Also required: Codex states that evidence was recorded and tells you to mark this task Done.</x:v>
      </x:c>
      <x:c r="H58" s="113" t="str">
        <x:v>Not started</x:v>
      </x:c>
      <x:c r="I58" s="112" t="str"/>
    </x:row>
    <x:row r="59" ht="150" customHeight="1">
      <x:c r="A59" s="109" t="n">
        <x:v>46341.5</x:v>
      </x:c>
      <x:c r="B59" s="110" t="str">
        <x:v>Week 7</x:v>
      </x:c>
      <x:c r="C59" s="119" t="str">
        <x:v>Legal and release candidate</x:v>
      </x:c>
      <x:c r="D59" s="112" t="str">
        <x:v>Freeze the words, prices, policies, and exact version that will be offered to customers.</x:v>
      </x:c>
      <x:c r="E59"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Review Monday's Beta-enrollment closure checklist one final time.
5. Safety rule: Nothing is published and no live payment setting is changed unless the day's instructions explicitly say so.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59" s="112" t="str">
        <x:v>Today is 2026-11-15. I am a complete beginner and I am following the YOW paid-launch plan. My only task today is: Review Monday's Beta-enrollment closure checklist one final time. The result we need is: Confirm existing testers keep access and exports, and that no production flag, entitlement, email, or public page is changed tonight.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59" s="112" t="str">
        <x:v>Confirm existing testers keep access and exports, and that no production flag, entitlement, email, or public page is changed tonight.
Also required: Codex states that evidence was recorded and tells you to mark this task Done.</x:v>
      </x:c>
      <x:c r="H59" s="113" t="str">
        <x:v>Not started</x:v>
      </x:c>
      <x:c r="I59" s="112" t="str"/>
    </x:row>
    <x:row r="60" ht="150" customHeight="1">
      <x:c r="A60" s="109" t="n">
        <x:v>46342.5</x:v>
      </x:c>
      <x:c r="B60" s="110" t="str">
        <x:v>Week 8</x:v>
      </x:c>
      <x:c r="C60" s="120" t="str">
        <x:v>Marketing runway 1</x:v>
      </x:c>
      <x:c r="D60" s="112" t="str">
        <x:v>Stop accepting new Beta members, keep current testers safe, announce the date, and watch for confusion before money is accepted.</x:v>
      </x:c>
      <x:c r="E60"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If go, approve closing new Beta enrollment and removing Beta from public plan choices.
5. Safety rule: Paid checkout stays off. Existing Beta testers keep access and export rights.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60" s="112" t="str">
        <x:v>Today is 2026-11-16. I am a complete beginner and I am following the YOW paid-launch plan. My only task today is: If go, approve closing new Beta enrollment and removing Beta from public plan choices. The result we need is: Close new Beta grants and public enrollment while preserving existing tester access and exports.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60" s="112" t="str">
        <x:v>Close new Beta grants and public enrollment while preserving existing tester access and exports.
Also required: Codex states that evidence was recorded and tells you to mark this task Done.</x:v>
      </x:c>
      <x:c r="H60" s="113" t="str">
        <x:v>Not started</x:v>
      </x:c>
      <x:c r="I60" s="112" t="str"/>
    </x:row>
    <x:row r="61" ht="150" customHeight="1">
      <x:c r="A61" s="109" t="n">
        <x:v>46343.5</x:v>
      </x:c>
      <x:c r="B61" s="110" t="str">
        <x:v>Week 8</x:v>
      </x:c>
      <x:c r="C61" s="120" t="str">
        <x:v>Marketing runway 1</x:v>
      </x:c>
      <x:c r="D61" s="112" t="str">
        <x:v>Stop accepting new Beta members, keep current testers safe, announce the date, and watch for confusion before money is accepted.</x:v>
      </x:c>
      <x:c r="E61"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Email existing Beta testers with launch timing, retained access, notice path, and backup steps.
5. Safety rule: Paid checkout stays off. Existing Beta testers keep access and export rights.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61" s="112" t="str">
        <x:v>Today is 2026-11-17. I am a complete beginner and I am following the YOW paid-launch plan. My only task today is: Email existing Beta testers with launch timing, retained access, notice path, and backup steps. The result we need is: Verify delivery, segmentation, support routing, and no entitlement revocation.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61" s="112" t="str">
        <x:v>Verify delivery, segmentation, support routing, and no entitlement revocation.
Also required: Codex states that evidence was recorded and tells you to mark this task Done.</x:v>
      </x:c>
      <x:c r="H61" s="113" t="str">
        <x:v>Not started</x:v>
      </x:c>
      <x:c r="I61" s="112" t="str"/>
    </x:row>
    <x:row r="62" ht="150" customHeight="1">
      <x:c r="A62" s="109" t="n">
        <x:v>46344.5</x:v>
      </x:c>
      <x:c r="B62" s="110" t="str">
        <x:v>Week 8</x:v>
      </x:c>
      <x:c r="C62" s="120" t="str">
        <x:v>Marketing runway 1</x:v>
      </x:c>
      <x:c r="D62" s="112" t="str">
        <x:v>Stop accepting new Beta members, keep current testers safe, announce the date, and watch for confusion before money is accepted.</x:v>
      </x:c>
      <x:c r="E62"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Publish the 30 November launch announcement and updated marketing pages.
5. Safety rule: Paid checkout stays off. Existing Beta testers keep access and export rights.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62" s="112" t="str">
        <x:v>Today is 2026-11-18. I am a complete beginner and I am following the YOW paid-launch plan. My only task today is: Publish the 30 November launch announcement and updated marketing pages. The result we need is: Deploy launch-date marketing with checkout disabled; verify SEO, sitemap, analytics, and links.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62" s="112" t="str">
        <x:v>Deploy launch-date marketing with checkout disabled; verify SEO, sitemap, analytics, and links.
Also required: Codex states that evidence was recorded and tells you to mark this task Done.</x:v>
      </x:c>
      <x:c r="H62" s="113" t="str">
        <x:v>Not started</x:v>
      </x:c>
      <x:c r="I62" s="112" t="str"/>
    </x:row>
    <x:row r="63" ht="150" customHeight="1">
      <x:c r="A63" s="109" t="n">
        <x:v>46345.5</x:v>
      </x:c>
      <x:c r="B63" s="110" t="str">
        <x:v>Week 8</x:v>
      </x:c>
      <x:c r="C63" s="120" t="str">
        <x:v>Marketing runway 1</x:v>
      </x:c>
      <x:c r="D63" s="112" t="str">
        <x:v>Stop accepting new Beta members, keep current testers safe, announce the date, and watch for confusion before money is accepted.</x:v>
      </x:c>
      <x:c r="E63"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Test the signed-out visitor journey on phone and desktop.
5. Safety rule: Paid checkout stays off. Existing Beta testers keep access and export rights.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63" s="112" t="str">
        <x:v>Today is 2026-11-19. I am a complete beginner and I am following the YOW paid-launch plan. My only task today is: Test the signed-out visitor journey on phone and desktop. The result we need is: Fix only launch-blocking copy, navigation, or signup problems.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63" s="112" t="str">
        <x:v>Fix only launch-blocking copy, navigation, or signup problems.
Also required: Codex states that evidence was recorded and tells you to mark this task Done.</x:v>
      </x:c>
      <x:c r="H63" s="113" t="str">
        <x:v>Not started</x:v>
      </x:c>
      <x:c r="I63" s="112" t="str"/>
    </x:row>
    <x:row r="64" ht="150" customHeight="1">
      <x:c r="A64" s="109" t="n">
        <x:v>46346.5</x:v>
      </x:c>
      <x:c r="B64" s="110" t="str">
        <x:v>Week 8</x:v>
      </x:c>
      <x:c r="C64" s="120" t="str">
        <x:v>Marketing runway 1</x:v>
      </x:c>
      <x:c r="D64" s="112" t="str">
        <x:v>Stop accepting new Beta members, keep current testers safe, announce the date, and watch for confusion before money is accepted.</x:v>
      </x:c>
      <x:c r="E64"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Review interest, tester replies, support load, and analytics; approve copy-only corrections.
5. Safety rule: Paid checkout stays off. Existing Beta testers keep access and export rights.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64" s="112" t="str">
        <x:v>Today is 2026-11-20. I am a complete beginner and I am following the YOW paid-launch plan. My only task today is: Review interest, tester replies, support load, and analytics; approve copy-only corrections. The result we need is: Produce the first marketing-runway report without expanding product scope.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64" s="112" t="str">
        <x:v>Produce the first marketing-runway report without expanding product scope.
Also required: Codex states that evidence was recorded and tells you to mark this task Done.</x:v>
      </x:c>
      <x:c r="H64" s="113" t="str">
        <x:v>Not started</x:v>
      </x:c>
      <x:c r="I64" s="112" t="str"/>
    </x:row>
    <x:row r="65" ht="150" customHeight="1">
      <x:c r="A65" s="109" t="n">
        <x:v>46347.5</x:v>
      </x:c>
      <x:c r="B65" s="110" t="str">
        <x:v>Week 8</x:v>
      </x:c>
      <x:c r="C65" s="120" t="str">
        <x:v>Marketing runway 1</x:v>
      </x:c>
      <x:c r="D65" s="112" t="str">
        <x:v>Stop accepting new Beta members, keep current testers safe, announce the date, and watch for confusion before money is accepted.</x:v>
      </x:c>
      <x:c r="E65"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Review the week's feedback and list only launch-blocking or copy-only follow-ups.
5. Safety rule: Paid checkout stays off. Existing Beta testers keep access and export rights.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65" s="112" t="str">
        <x:v>Today is 2026-11-21. I am a complete beginner and I am following the YOW paid-launch plan. My only task today is: Review the week's feedback and list only launch-blocking or copy-only follow-ups. The result we need is: Keep feature scope frozen and leave non-blocking ideas in the post-launch list.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65" s="112" t="str">
        <x:v>Keep feature scope frozen and leave non-blocking ideas in the post-launch list.
Also required: Codex states that evidence was recorded and tells you to mark this task Done.</x:v>
      </x:c>
      <x:c r="H65" s="113" t="str">
        <x:v>Not started</x:v>
      </x:c>
      <x:c r="I65" s="112" t="str"/>
    </x:row>
    <x:row r="66" ht="150" customHeight="1">
      <x:c r="A66" s="109" t="n">
        <x:v>46348.5</x:v>
      </x:c>
      <x:c r="B66" s="110" t="str">
        <x:v>Week 8</x:v>
      </x:c>
      <x:c r="C66" s="120" t="str">
        <x:v>Marketing runway 1</x:v>
      </x:c>
      <x:c r="D66" s="112" t="str">
        <x:v>Stop accepting new Beta members, keep current testers safe, announce the date, and watch for confusion before money is accepted.</x:v>
      </x:c>
      <x:c r="E66"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Prepare the main use-case story and demonstration materials for Release Candidate 2 week.
5. Safety rule: Paid checkout stays off. Existing Beta testers keep access and export rights.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66" s="112" t="str">
        <x:v>Today is 2026-11-22. I am a complete beginner and I am following the YOW paid-launch plan. My only task today is: Prepare the main use-case story and demonstration materials for Release Candidate 2 week. The result we need is: Have draft-only assets ready for review; do not publish, email, or change checkout tonight.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66" s="112" t="str">
        <x:v>Have draft-only assets ready for review; do not publish, email, or change checkout tonight.
Also required: Codex states that evidence was recorded and tells you to mark this task Done.</x:v>
      </x:c>
      <x:c r="H66" s="113" t="str">
        <x:v>Not started</x:v>
      </x:c>
      <x:c r="I66" s="112" t="str"/>
    </x:row>
    <x:row r="67" ht="150" customHeight="1">
      <x:c r="A67" s="109" t="n">
        <x:v>46349.5</x:v>
      </x:c>
      <x:c r="B67" s="110" t="str">
        <x:v>Week 9</x:v>
      </x:c>
      <x:c r="C67" s="121" t="str">
        <x:v>Marketing runway 2</x:v>
      </x:c>
      <x:c r="D67" s="112" t="str">
        <x:v>Repeat the final safety checks while publishing truthful examples of what YOW does.</x:v>
      </x:c>
      <x:c r="E67"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Publish the main use-case story and demonstrate one complete writer workflow.
5. Safety rule: Paid checkout stays off. Existing Beta testers keep access and export rights.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67" s="112" t="str">
        <x:v>Today is 2026-11-23. I am a complete beginner and I am following the YOW paid-launch plan. My only task today is: Publish the main use-case story and demonstrate one complete writer workflow. The result we need is: Run Release Candidate 2 regression and production header, CSP, and analytics checks.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67" s="112" t="str">
        <x:v>Run Release Candidate 2 regression and production header, CSP, and analytics checks.
Also required: Codex states that evidence was recorded and tells you to mark this task Done.</x:v>
      </x:c>
      <x:c r="H67" s="113" t="str">
        <x:v>Not started</x:v>
      </x:c>
      <x:c r="I67" s="112" t="str"/>
    </x:row>
    <x:row r="68" ht="150" customHeight="1">
      <x:c r="A68" s="109" t="n">
        <x:v>46350.5</x:v>
      </x:c>
      <x:c r="B68" s="110" t="str">
        <x:v>Week 9</x:v>
      </x:c>
      <x:c r="C68" s="121" t="str">
        <x:v>Marketing runway 2</x:v>
      </x:c>
      <x:c r="D68" s="112" t="str">
        <x:v>Repeat the final safety checks while publishing truthful examples of what YOW does.</x:v>
      </x:c>
      <x:c r="E68"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Publish the ownership, export, Local Mode, and desktop message.
5. Safety rule: Paid checkout stays off. Existing Beta testers keep access and export rights.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68" s="112" t="str">
        <x:v>Today is 2026-11-24. I am a complete beginner and I am following the YOW paid-launch plan. My only task today is: Publish the ownership, export, Local Mode, and desktop message. The result we need is: Recheck artifacts, hashes, entitlement gating, backup and restore, and expiry copy.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68" s="112" t="str">
        <x:v>Recheck artifacts, hashes, entitlement gating, backup and restore, and expiry copy.
Also required: Codex states that evidence was recorded and tells you to mark this task Done.</x:v>
      </x:c>
      <x:c r="H68" s="113" t="str">
        <x:v>Not started</x:v>
      </x:c>
      <x:c r="I68" s="112" t="str"/>
    </x:row>
    <x:row r="69" ht="150" customHeight="1">
      <x:c r="A69" s="109" t="n">
        <x:v>46351.5</x:v>
      </x:c>
      <x:c r="B69" s="110" t="str">
        <x:v>Week 9</x:v>
      </x:c>
      <x:c r="C69" s="121" t="str">
        <x:v>Marketing runway 2</x:v>
      </x:c>
      <x:c r="D69" s="112" t="str">
        <x:v>Repeat the final safety checks while publishing truthful examples of what YOW does.</x:v>
      </x:c>
      <x:c r="E69"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Publish project-type examples and confirm all six are described honestly.
5. Safety rule: Paid checkout stays off. Existing Beta testers keep access and export rights.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69" s="112" t="str">
        <x:v>Today is 2026-11-25. I am a complete beginner and I am following the YOW paid-launch plan. My only task today is: Publish project-type examples and confirm all six are described honestly. The result we need is: Rerun the six-type smoke matrix and marketing-promise tests.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69" s="112" t="str">
        <x:v>Rerun the six-type smoke matrix and marketing-promise tests.
Also required: Codex states that evidence was recorded and tells you to mark this task Done.</x:v>
      </x:c>
      <x:c r="H69" s="113" t="str">
        <x:v>Not started</x:v>
      </x:c>
      <x:c r="I69" s="112" t="str"/>
    </x:row>
    <x:row r="70" ht="150" customHeight="1">
      <x:c r="A70" s="109" t="n">
        <x:v>46352.5</x:v>
      </x:c>
      <x:c r="B70" s="110" t="str">
        <x:v>Week 9</x:v>
      </x:c>
      <x:c r="C70" s="121" t="str">
        <x:v>Marketing runway 2</x:v>
      </x:c>
      <x:c r="D70" s="112" t="str">
        <x:v>Repeat the final safety checks while publishing truthful examples of what YOW does.</x:v>
      </x:c>
      <x:c r="E70"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Review the support runbook, refunds, cancellation, incident contacts, and rollback triggers.
5. Safety rule: Paid checkout stays off. Existing Beta testers keep access and export rights.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70" s="112" t="str">
        <x:v>Today is 2026-11-26. I am a complete beginner and I am following the YOW paid-launch plan. My only task today is: Review the support runbook, refunds, cancellation, incident contacts, and rollback triggers. The result we need is: Rehearse rollback, checkout disable, database backup, monitoring, and escalation.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70" s="112" t="str">
        <x:v>Rehearse rollback, checkout disable, database backup, monitoring, and escalation.
Also required: Codex states that evidence was recorded and tells you to mark this task Done.</x:v>
      </x:c>
      <x:c r="H70" s="113" t="str">
        <x:v>Not started</x:v>
      </x:c>
      <x:c r="I70" s="112" t="str"/>
    </x:row>
    <x:row r="71" ht="150" customHeight="1">
      <x:c r="A71" s="109" t="n">
        <x:v>46353.5</x:v>
      </x:c>
      <x:c r="B71" s="110" t="str">
        <x:v>Week 9</x:v>
      </x:c>
      <x:c r="C71" s="121" t="str">
        <x:v>Marketing runway 2</x:v>
      </x:c>
      <x:c r="D71" s="112" t="str">
        <x:v>Repeat the final safety checks while publishing truthful examples of what YOW does.</x:v>
      </x:c>
      <x:c r="E71"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Perform the final guided purchase rehearsal and sign the launch checklist.
5. Safety rule: Paid checkout stays off. Existing Beta testers keep access and export rights.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71" s="112" t="str">
        <x:v>Today is 2026-11-27. I am a complete beginner and I am following the YOW paid-launch plan. My only task today is: Perform the final guided purchase rehearsal and sign the launch checklist. The result we need is: Review live Stripe configuration and verify checkout in preview; keep production checkout off.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71" s="112" t="str">
        <x:v>Review live Stripe configuration and verify checkout in preview; keep production checkout off.
Also required: Codex states that evidence was recorded and tells you to mark this task Done.</x:v>
      </x:c>
      <x:c r="H71" s="113" t="str">
        <x:v>Not started</x:v>
      </x:c>
      <x:c r="I71" s="112" t="str"/>
    </x:row>
    <x:row r="72" ht="150" customHeight="1">
      <x:c r="A72" s="109" t="n">
        <x:v>46354.5</x:v>
      </x:c>
      <x:c r="B72" s="110" t="str">
        <x:v>Week 9</x:v>
      </x:c>
      <x:c r="C72" s="121" t="str">
        <x:v>Marketing runway 2</x:v>
      </x:c>
      <x:c r="D72" s="112" t="str">
        <x:v>Repeat the final safety checks while publishing truthful examples of what YOW does.</x:v>
      </x:c>
      <x:c r="E72"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Review the final rehearsal evidence and confirm the production checkout switch is still off.
5. Safety rule: Paid checkout stays off. Existing Beta testers keep access and export rights.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72" s="112" t="str">
        <x:v>Today is 2026-11-28. I am a complete beginner and I am following the YOW paid-launch plan. My only task today is: Review the final rehearsal evidence and confirm the production checkout switch is still off. The result we need is: List any launch-stopping difference from rehearsal and keep the launch blocked until it is resolved.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72" s="112" t="str">
        <x:v>List any launch-stopping difference from rehearsal and keep the launch blocked until it is resolved.
Also required: Codex states that evidence was recorded and tells you to mark this task Done.</x:v>
      </x:c>
      <x:c r="H72" s="113" t="str">
        <x:v>Not started</x:v>
      </x:c>
      <x:c r="I72" s="112" t="str"/>
    </x:row>
    <x:row r="73" ht="150" customHeight="1">
      <x:c r="A73" s="109" t="n">
        <x:v>46355.5</x:v>
      </x:c>
      <x:c r="B73" s="110" t="str">
        <x:v>Week 9</x:v>
      </x:c>
      <x:c r="C73" s="121" t="str">
        <x:v>Marketing runway 2</x:v>
      </x:c>
      <x:c r="D73" s="112" t="str">
        <x:v>Repeat the final safety checks while publishing truthful examples of what YOW does.</x:v>
      </x:c>
      <x:c r="E73" s="112"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Run the launch-eve paperwork and backup preflight without changing production.
5. Safety rule: Paid checkout stays off. Existing Beta testers keep access and export rights.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73" s="112" t="str">
        <x:v>Today is 2026-11-29. I am a complete beginner and I am following the YOW paid-launch plan. My only task today is: Run the launch-eve paperwork and backup preflight without changing production. The result we need is: Confirm the approved release, backup plan, rollback steps, support contacts, installer hashes, and monitoring checklist are ready for tomorrow.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73" s="112" t="str">
        <x:v>Confirm the approved release, backup plan, rollback steps, support contacts, installer hashes, and monitoring checklist are ready for tomorrow.
Also required: Codex states that evidence was recorded and tells you to mark this task Done.</x:v>
      </x:c>
      <x:c r="H73" s="113" t="str">
        <x:v>Not started</x:v>
      </x:c>
      <x:c r="I73" s="112" t="str"/>
    </x:row>
    <x:row r="74" ht="150" customHeight="1">
      <x:c r="A74" s="122" t="n">
        <x:v>46356.5</x:v>
      </x:c>
      <x:c r="B74" s="123" t="str">
        <x:v>Week 10</x:v>
      </x:c>
      <x:c r="C74" s="124" t="str">
        <x:v>Launch</x:v>
      </x:c>
      <x:c r="D74" s="125" t="str">
        <x:v>Turn on real checkout only after a fresh backup and final smoke test, then watch the first real transactions closely.</x:v>
      </x:c>
      <x:c r="E74" s="125" t="str">
        <x:v>1. Open this workbook and stay on this row. Do not work ahead.
2. Open Codex. Copy the entire prompt from the next column and send it unchanged.
3. Wait for Codex to give you one step. If it gives several steps, ask it to give you only the first one.
4. Complete today's owner action: Approve the production checkout switch, announce launch, and monitor transactions and support.
5. Safety rule: Take the final backups first. Stop immediately if auth, checkout, entitlement, save, or export behaves differently from the rehearsal.
6. After every click or decision, tell Codex exactly what appeared on screen. If it differs from the instruction, stop instead of guessing.
7. At the end, ask: “What evidence proves this passed, and did you update the roadmap?”
8. Set Status to Done only if Codex confirms the result and evidence. Otherwise choose In progress or Blocked and paste the reason into Notes.</x:v>
      </x:c>
      <x:c r="F74" s="125" t="str">
        <x:v>Today is 2026-11-30. I am a complete beginner and I am following the YOW paid-launch plan. My only task today is: Approve the production checkout switch, announce launch, and monitor transactions and support. The result we need is: Back up, deploy, enable checkout, migrate existing Beta accounts into the 30-day notice path, smoke-test, and keep rollback ready. Guide me through this one step at a time. Before every step, tell me: (1) which app or website to open, (2) exactly what to click or type, (3) what I should expect to see, and (4) what I must not touch. Do not ask me to edit code or run terminal commands; do that work yourself. Use safe test accounts and disposable data. Stop before any destructive, production, billing, email, or public action and explain it in plain English. Wait for my reply after each step. At the end, tell me whether to mark this Done, In progress, or Blocked, and record the evidence in the roadmap.</x:v>
      </x:c>
      <x:c r="G74" s="125" t="str">
        <x:v>Back up, deploy, enable checkout, migrate existing Beta accounts into the 30-day notice path, smoke-test, and keep rollback ready.
Also required: Codex states that evidence was recorded and tells you to mark this task Done.</x:v>
      </x:c>
      <x:c r="H74" s="126" t="str">
        <x:v>Not started</x:v>
      </x:c>
      <x:c r="I74" s="125" t="str"/>
    </x:row>
  </x:sheetData>
  <x:mergeCells>
    <x:mergeCell ref="A2:I2"/>
    <x:mergeCell ref="A3:I3"/>
    <x:mergeCell ref="D5:I5"/>
    <x:mergeCell ref="D6:I9"/>
  </x:mergeCells>
  <x:conditionalFormatting sqref="H11:H74">
    <x:cfRule type="containsText" dxfId="0" priority="1" operator="containsText" text="Done"/>
    <x:cfRule type="containsText" dxfId="1" priority="2" operator="containsText" text="In progress"/>
    <x:cfRule type="containsText" dxfId="2" priority="3" operator="containsText" text="Blocked"/>
    <x:cfRule type="containsText" dxfId="3" priority="4" operator="containsText" text="Not started"/>
  </x:conditionalFormatting>
  <x:dataValidations count="1">
    <x:dataValidation type="list" sqref="H11:H74">
      <x:formula1>"Not started,In progress,Blocked,Done"</x:formula1>
    </x:dataValidation>
  </x:dataValidations>
  <x:pageMargins left="0.7" right="0.7" top="0.75" bottom="0.75" header="0.3" footer="0.3"/>
  <x:tableParts count="1">
    <x:tablePart xmlns:r="http://schemas.openxmlformats.org/officeDocument/2006/relationships" r:id="Rf0407c95a77b4f69"/>
  </x:tableParts>
</x:worksheet>
</file>

<file path=xl/worksheets/sheet3.xml><?xml version="1.0" encoding="utf-8"?>
<x:worksheet xmlns:x="http://schemas.openxmlformats.org/spreadsheetml/2006/main">
  <x:sheetPr>
    <x:tabColor rgb="FF2B7A78"/>
  </x:sheetPr>
  <x:sheetViews>
    <x:sheetView showGridLines="0" workbookViewId="0">
      <x:pane ySplit="3" topLeftCell="A4" activePane="bottomLeft" state="frozen"/>
    </x:sheetView>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2">
      <x:c r="A2" s="1" t="str">
        <x:v>YOW launch calendar</x:v>
      </x:c>
    </x:row>
    <x:row r="3">
      <x:c r="A3" s="2" t="str">
        <x:v>Daily 8:30–9:30 PM owner blocks · open the matching date in Daily Guide for full beginner instructions</x:v>
      </x:c>
    </x:row>
    <x:row r="5" ht="24" customHeight="1">
      <x:c r="A5" s="132" t="str">
        <x:v>Week 1 · 2026-09-28 to 2026-10-04 · Release baseline</x:v>
      </x:c>
      <x:c r="B5" s="133"/>
      <x:c r="C5" s="133"/>
      <x:c r="D5" s="133"/>
      <x:c r="E5" s="133"/>
      <x:c r="F5" s="133"/>
      <x:c r="G5" s="133"/>
      <x:c r="H5" s="133"/>
      <x:c r="I5" s="133"/>
      <x:c r="J5" s="133"/>
      <x:c r="K5" s="133"/>
      <x:c r="L5" s="133"/>
      <x:c r="M5" s="133"/>
      <x:c r="N5" s="134"/>
    </x:row>
    <x:row r="6" ht="24" customHeight="1">
      <x:c r="A6" s="139" t="str">
        <x:v>Mon 28 Sept</x:v>
      </x:c>
      <x:c r="B6" s="140"/>
      <x:c r="C6" s="139" t="str">
        <x:v>Tue 29 Sept</x:v>
      </x:c>
      <x:c r="D6" s="140"/>
      <x:c r="E6" s="139" t="str">
        <x:v>Wed 30 Sept</x:v>
      </x:c>
      <x:c r="F6" s="140"/>
      <x:c r="G6" s="139" t="str">
        <x:v>Thu 1 Oct</x:v>
      </x:c>
      <x:c r="H6" s="140"/>
      <x:c r="I6" s="139" t="str">
        <x:v>Fri 2 Oct</x:v>
      </x:c>
      <x:c r="J6" s="140"/>
      <x:c r="K6" s="139" t="str">
        <x:v>Sat 3 Oct</x:v>
      </x:c>
      <x:c r="L6" s="140"/>
      <x:c r="M6" s="139" t="str">
        <x:v>Sun 4 Oct</x:v>
      </x:c>
      <x:c r="N6" s="140"/>
    </x:row>
    <x:row r="7" ht="22" customHeight="1">
      <x:c r="A7" s="155" t="str">
        <x:v>Approve the calendar and reserve daily evening review blocks through 30 November.</x:v>
      </x:c>
      <x:c r="B7" s="156"/>
      <x:c r="C7" s="155" t="str">
        <x:v>Review the short release-baseline report and decide only if a true scope conflict is surfaced.</x:v>
      </x:c>
      <x:c r="D7" s="156"/>
      <x:c r="E7" s="155" t="str">
        <x:v>Run a 30-minute sign-in, project, writing, and export smoke test.</x:v>
      </x:c>
      <x:c r="F7" s="156"/>
      <x:c r="G7" s="155" t="str">
        <x:v>Confirm the six launch project types and excluded promises still match the product you intend to sell.</x:v>
      </x:c>
      <x:c r="H7" s="156"/>
      <x:c r="I7" s="155" t="str">
        <x:v>Review the Week 1 status and approve the ordered blocker queue.</x:v>
      </x:c>
      <x:c r="J7" s="156"/>
      <x:c r="K7" s="155" t="str">
        <x:v>Review the frozen-scope classification and note any item that appears in the wrong group.</x:v>
      </x:c>
      <x:c r="L7" s="156"/>
      <x:c r="M7" s="155" t="str">
        <x:v>Prepare the safe test setup for Data Safety week.</x:v>
      </x:c>
      <x:c r="N7" s="156"/>
    </x:row>
    <x:row r="8" ht="22" customHeight="1">
      <x:c r="A8" s="157"/>
      <x:c r="B8" s="158"/>
      <x:c r="C8" s="157"/>
      <x:c r="D8" s="158"/>
      <x:c r="E8" s="157"/>
      <x:c r="F8" s="158"/>
      <x:c r="G8" s="157"/>
      <x:c r="H8" s="158"/>
      <x:c r="I8" s="157"/>
      <x:c r="J8" s="158"/>
      <x:c r="K8" s="157"/>
      <x:c r="L8" s="158"/>
      <x:c r="M8" s="157"/>
      <x:c r="N8" s="158"/>
    </x:row>
    <x:row r="9" ht="22" customHeight="1">
      <x:c r="A9" s="157"/>
      <x:c r="B9" s="158"/>
      <x:c r="C9" s="157"/>
      <x:c r="D9" s="158"/>
      <x:c r="E9" s="157"/>
      <x:c r="F9" s="158"/>
      <x:c r="G9" s="157"/>
      <x:c r="H9" s="158"/>
      <x:c r="I9" s="157"/>
      <x:c r="J9" s="158"/>
      <x:c r="K9" s="157"/>
      <x:c r="L9" s="158"/>
      <x:c r="M9" s="157"/>
      <x:c r="N9" s="158"/>
    </x:row>
    <x:row r="10" ht="22" customHeight="1">
      <x:c r="A10" s="159"/>
      <x:c r="B10" s="160"/>
      <x:c r="C10" s="159"/>
      <x:c r="D10" s="160"/>
      <x:c r="E10" s="159"/>
      <x:c r="F10" s="160"/>
      <x:c r="G10" s="159"/>
      <x:c r="H10" s="160"/>
      <x:c r="I10" s="159"/>
      <x:c r="J10" s="160"/>
      <x:c r="K10" s="159"/>
      <x:c r="L10" s="160"/>
      <x:c r="M10" s="159"/>
      <x:c r="N10" s="160"/>
    </x:row>
    <x:row r="12" ht="24" customHeight="1">
      <x:c r="A12" s="166" t="str">
        <x:v>Week 2 · 2026-10-05 to 2026-10-11 · Data safety</x:v>
      </x:c>
      <x:c r="B12" s="167"/>
      <x:c r="C12" s="167"/>
      <x:c r="D12" s="167"/>
      <x:c r="E12" s="167"/>
      <x:c r="F12" s="167"/>
      <x:c r="G12" s="167"/>
      <x:c r="H12" s="167"/>
      <x:c r="I12" s="167"/>
      <x:c r="J12" s="167"/>
      <x:c r="K12" s="167"/>
      <x:c r="L12" s="167"/>
      <x:c r="M12" s="167"/>
      <x:c r="N12" s="168"/>
    </x:row>
    <x:row r="13" ht="24" customHeight="1">
      <x:c r="A13" s="139" t="str">
        <x:v>Mon 5 Oct</x:v>
      </x:c>
      <x:c r="B13" s="140"/>
      <x:c r="C13" s="139" t="str">
        <x:v>Tue 6 Oct</x:v>
      </x:c>
      <x:c r="D13" s="140"/>
      <x:c r="E13" s="139" t="str">
        <x:v>Wed 7 Oct</x:v>
      </x:c>
      <x:c r="F13" s="140"/>
      <x:c r="G13" s="139" t="str">
        <x:v>Thu 8 Oct</x:v>
      </x:c>
      <x:c r="H13" s="140"/>
      <x:c r="I13" s="139" t="str">
        <x:v>Fri 9 Oct</x:v>
      </x:c>
      <x:c r="J13" s="140"/>
      <x:c r="K13" s="139" t="str">
        <x:v>Sat 10 Oct</x:v>
      </x:c>
      <x:c r="L13" s="140"/>
      <x:c r="M13" s="139" t="str">
        <x:v>Sun 11 Oct</x:v>
      </x:c>
      <x:c r="N13" s="140"/>
    </x:row>
    <x:row r="14" ht="22" customHeight="1">
      <x:c r="A14" s="155" t="str">
        <x:v>Provide the production Supabase session or access needed for the guided migration check.</x:v>
      </x:c>
      <x:c r="B14" s="156"/>
      <x:c r="C14" s="155" t="str">
        <x:v>Perform the guided two-tab same-scene edit test with the designated test account.</x:v>
      </x:c>
      <x:c r="D14" s="156"/>
      <x:c r="E14" s="155" t="str">
        <x:v>Perform the guided two-account isolation and account-switch test.</x:v>
      </x:c>
      <x:c r="F14" s="156"/>
      <x:c r="G14" s="155" t="str">
        <x:v>Approve or defer the optional git-history rewrite after reviewing the auth-log result.</x:v>
      </x:c>
      <x:c r="H14" s="156"/>
      <x:c r="I14" s="155" t="str">
        <x:v>Sign off the plain-English data-safety evidence packet.</x:v>
      </x:c>
      <x:c r="J14" s="156"/>
      <x:c r="K14" s="155" t="str">
        <x:v>Catch up the first unfinished Data Safety check, or review the evidence packet if the week is complete.</x:v>
      </x:c>
      <x:c r="L14" s="156"/>
      <x:c r="M14" s="155" t="str">
        <x:v>Prepare disposable files and projects for Cloud and Exports week.</x:v>
      </x:c>
      <x:c r="N14" s="156"/>
    </x:row>
    <x:row r="15" ht="22" customHeight="1">
      <x:c r="A15" s="157"/>
      <x:c r="B15" s="158"/>
      <x:c r="C15" s="157"/>
      <x:c r="D15" s="158"/>
      <x:c r="E15" s="157"/>
      <x:c r="F15" s="158"/>
      <x:c r="G15" s="157"/>
      <x:c r="H15" s="158"/>
      <x:c r="I15" s="157"/>
      <x:c r="J15" s="158"/>
      <x:c r="K15" s="157"/>
      <x:c r="L15" s="158"/>
      <x:c r="M15" s="157"/>
      <x:c r="N15" s="158"/>
    </x:row>
    <x:row r="16" ht="22" customHeight="1">
      <x:c r="A16" s="157"/>
      <x:c r="B16" s="158"/>
      <x:c r="C16" s="157"/>
      <x:c r="D16" s="158"/>
      <x:c r="E16" s="157"/>
      <x:c r="F16" s="158"/>
      <x:c r="G16" s="157"/>
      <x:c r="H16" s="158"/>
      <x:c r="I16" s="157"/>
      <x:c r="J16" s="158"/>
      <x:c r="K16" s="157"/>
      <x:c r="L16" s="158"/>
      <x:c r="M16" s="157"/>
      <x:c r="N16" s="158"/>
    </x:row>
    <x:row r="17" ht="22" customHeight="1">
      <x:c r="A17" s="159"/>
      <x:c r="B17" s="160"/>
      <x:c r="C17" s="159"/>
      <x:c r="D17" s="160"/>
      <x:c r="E17" s="159"/>
      <x:c r="F17" s="160"/>
      <x:c r="G17" s="159"/>
      <x:c r="H17" s="160"/>
      <x:c r="I17" s="159"/>
      <x:c r="J17" s="160"/>
      <x:c r="K17" s="159"/>
      <x:c r="L17" s="160"/>
      <x:c r="M17" s="159"/>
      <x:c r="N17" s="160"/>
    </x:row>
    <x:row r="19" ht="24" customHeight="1">
      <x:c r="A19" s="174" t="str">
        <x:v>Week 3 · 2026-10-12 to 2026-10-18 · Cloud and exports</x:v>
      </x:c>
      <x:c r="B19" s="175"/>
      <x:c r="C19" s="175"/>
      <x:c r="D19" s="175"/>
      <x:c r="E19" s="175"/>
      <x:c r="F19" s="175"/>
      <x:c r="G19" s="175"/>
      <x:c r="H19" s="175"/>
      <x:c r="I19" s="175"/>
      <x:c r="J19" s="175"/>
      <x:c r="K19" s="175"/>
      <x:c r="L19" s="175"/>
      <x:c r="M19" s="175"/>
      <x:c r="N19" s="176"/>
    </x:row>
    <x:row r="20" ht="24" customHeight="1">
      <x:c r="A20" s="139" t="str">
        <x:v>Mon 12 Oct</x:v>
      </x:c>
      <x:c r="B20" s="140"/>
      <x:c r="C20" s="139" t="str">
        <x:v>Tue 13 Oct</x:v>
      </x:c>
      <x:c r="D20" s="140"/>
      <x:c r="E20" s="139" t="str">
        <x:v>Wed 14 Oct</x:v>
      </x:c>
      <x:c r="F20" s="140"/>
      <x:c r="G20" s="139" t="str">
        <x:v>Thu 15 Oct</x:v>
      </x:c>
      <x:c r="H20" s="140"/>
      <x:c r="I20" s="139" t="str">
        <x:v>Fri 16 Oct</x:v>
      </x:c>
      <x:c r="J20" s="140"/>
      <x:c r="K20" s="139" t="str">
        <x:v>Sat 17 Oct</x:v>
      </x:c>
      <x:c r="L20" s="140"/>
      <x:c r="M20" s="139" t="str">
        <x:v>Sun 18 Oct</x:v>
      </x:c>
      <x:c r="N20" s="140"/>
    </x:row>
    <x:row r="21" ht="22" customHeight="1">
      <x:c r="A21" s="155" t="str">
        <x:v>Test a real media upload, replacement, and deletion while watching the Storage figure.</x:v>
      </x:c>
      <x:c r="B21" s="156"/>
      <x:c r="C21" s="155" t="str">
        <x:v>Run one guided full-account export and open representative ZIP, DOCX, PDF, and World Bible outputs.</x:v>
      </x:c>
      <x:c r="D21" s="156"/>
      <x:c r="E21" s="155" t="str">
        <x:v>Run guided import-as-new, import-into-existing, and second-account collision checks.</x:v>
      </x:c>
      <x:c r="F21" s="156"/>
      <x:c r="G21" s="155" t="str">
        <x:v>Review the customer warning sequence for cloud expiry and inactive Free accounts.</x:v>
      </x:c>
      <x:c r="H21" s="156"/>
      <x:c r="I21" s="155" t="str">
        <x:v>Approve the final cloud-expiry wording and evidence.</x:v>
      </x:c>
      <x:c r="J21" s="156"/>
      <x:c r="K21" s="155" t="str">
        <x:v>Catch up the first unfinished cloud or export check, or review the completed export evidence.</x:v>
      </x:c>
      <x:c r="L21" s="156"/>
      <x:c r="M21" s="155" t="str">
        <x:v>Prepare the clean or test Mac and an isolated YOW test folder for Desktop week.</x:v>
      </x:c>
      <x:c r="N21" s="156"/>
    </x:row>
    <x:row r="22" ht="22" customHeight="1">
      <x:c r="A22" s="157"/>
      <x:c r="B22" s="158"/>
      <x:c r="C22" s="157"/>
      <x:c r="D22" s="158"/>
      <x:c r="E22" s="157"/>
      <x:c r="F22" s="158"/>
      <x:c r="G22" s="157"/>
      <x:c r="H22" s="158"/>
      <x:c r="I22" s="157"/>
      <x:c r="J22" s="158"/>
      <x:c r="K22" s="157"/>
      <x:c r="L22" s="158"/>
      <x:c r="M22" s="157"/>
      <x:c r="N22" s="158"/>
    </x:row>
    <x:row r="23" ht="22" customHeight="1">
      <x:c r="A23" s="157"/>
      <x:c r="B23" s="158"/>
      <x:c r="C23" s="157"/>
      <x:c r="D23" s="158"/>
      <x:c r="E23" s="157"/>
      <x:c r="F23" s="158"/>
      <x:c r="G23" s="157"/>
      <x:c r="H23" s="158"/>
      <x:c r="I23" s="157"/>
      <x:c r="J23" s="158"/>
      <x:c r="K23" s="157"/>
      <x:c r="L23" s="158"/>
      <x:c r="M23" s="157"/>
      <x:c r="N23" s="158"/>
    </x:row>
    <x:row r="24" ht="22" customHeight="1">
      <x:c r="A24" s="159"/>
      <x:c r="B24" s="160"/>
      <x:c r="C24" s="159"/>
      <x:c r="D24" s="160"/>
      <x:c r="E24" s="159"/>
      <x:c r="F24" s="160"/>
      <x:c r="G24" s="159"/>
      <x:c r="H24" s="160"/>
      <x:c r="I24" s="159"/>
      <x:c r="J24" s="160"/>
      <x:c r="K24" s="159"/>
      <x:c r="L24" s="160"/>
      <x:c r="M24" s="159"/>
      <x:c r="N24" s="160"/>
    </x:row>
    <x:row r="26" ht="24" customHeight="1">
      <x:c r="A26" s="182" t="str">
        <x:v>Week 4 · 2026-10-19 to 2026-10-25 · Desktop Mac</x:v>
      </x:c>
      <x:c r="B26" s="183"/>
      <x:c r="C26" s="183"/>
      <x:c r="D26" s="183"/>
      <x:c r="E26" s="183"/>
      <x:c r="F26" s="183"/>
      <x:c r="G26" s="183"/>
      <x:c r="H26" s="183"/>
      <x:c r="I26" s="183"/>
      <x:c r="J26" s="183"/>
      <x:c r="K26" s="183"/>
      <x:c r="L26" s="183"/>
      <x:c r="M26" s="183"/>
      <x:c r="N26" s="184"/>
    </x:row>
    <x:row r="27" ht="24" customHeight="1">
      <x:c r="A27" s="139" t="str">
        <x:v>Mon 19 Oct</x:v>
      </x:c>
      <x:c r="B27" s="140"/>
      <x:c r="C27" s="139" t="str">
        <x:v>Tue 20 Oct</x:v>
      </x:c>
      <x:c r="D27" s="140"/>
      <x:c r="E27" s="139" t="str">
        <x:v>Wed 21 Oct</x:v>
      </x:c>
      <x:c r="F27" s="140"/>
      <x:c r="G27" s="139" t="str">
        <x:v>Thu 22 Oct</x:v>
      </x:c>
      <x:c r="H27" s="140"/>
      <x:c r="I27" s="139" t="str">
        <x:v>Fri 23 Oct</x:v>
      </x:c>
      <x:c r="J27" s="140"/>
      <x:c r="K27" s="139" t="str">
        <x:v>Sat 24 Oct</x:v>
      </x:c>
      <x:c r="L27" s="140"/>
      <x:c r="M27" s="139" t="str">
        <x:v>Sun 25 Oct</x:v>
      </x:c>
      <x:c r="N27" s="140"/>
    </x:row>
    <x:row r="28" ht="22" customHeight="1">
      <x:c r="A28" s="155" t="str">
        <x:v>Install the current macOS build on a clean or test Mac using only the written instructions.</x:v>
      </x:c>
      <x:c r="B28" s="156"/>
      <x:c r="C28" s="155" t="str">
        <x:v>Test writing, quit and reopen, force-quit recovery, snapshot, restore, and vault relocation.</x:v>
      </x:c>
      <x:c r="D28" s="156"/>
      <x:c r="E28" s="155" t="str">
        <x:v>Test native ZIP, DOCX, PDF, and map PNG saves from the packaged Mac app.</x:v>
      </x:c>
      <x:c r="F28" s="156"/>
      <x:c r="G28" s="155" t="str">
        <x:v>Run the guided Local Mode, lapse, web edit, renewal, and merge-conflict scenario.</x:v>
      </x:c>
      <x:c r="H28" s="156"/>
      <x:c r="I28" s="155" t="str">
        <x:v>Approve Mac install and disclosure instructions after a clean-machine pass.</x:v>
      </x:c>
      <x:c r="J28" s="156"/>
      <x:c r="K28" s="155" t="str">
        <x:v>Catch up the first unfinished Mac check, or review the Mac evidence and record the exact remaining gap.</x:v>
      </x:c>
      <x:c r="L28" s="156"/>
      <x:c r="M28" s="155" t="str">
        <x:v>Prepare access to a clean or test Windows computer and read the SmartScreen test instructions.</x:v>
      </x:c>
      <x:c r="N28" s="156"/>
    </x:row>
    <x:row r="29" ht="22" customHeight="1">
      <x:c r="A29" s="157"/>
      <x:c r="B29" s="158"/>
      <x:c r="C29" s="157"/>
      <x:c r="D29" s="158"/>
      <x:c r="E29" s="157"/>
      <x:c r="F29" s="158"/>
      <x:c r="G29" s="157"/>
      <x:c r="H29" s="158"/>
      <x:c r="I29" s="157"/>
      <x:c r="J29" s="158"/>
      <x:c r="K29" s="157"/>
      <x:c r="L29" s="158"/>
      <x:c r="M29" s="157"/>
      <x:c r="N29" s="158"/>
    </x:row>
    <x:row r="30" ht="22" customHeight="1">
      <x:c r="A30" s="157"/>
      <x:c r="B30" s="158"/>
      <x:c r="C30" s="157"/>
      <x:c r="D30" s="158"/>
      <x:c r="E30" s="157"/>
      <x:c r="F30" s="158"/>
      <x:c r="G30" s="157"/>
      <x:c r="H30" s="158"/>
      <x:c r="I30" s="157"/>
      <x:c r="J30" s="158"/>
      <x:c r="K30" s="157"/>
      <x:c r="L30" s="158"/>
      <x:c r="M30" s="157"/>
      <x:c r="N30" s="158"/>
    </x:row>
    <x:row r="31" ht="22" customHeight="1">
      <x:c r="A31" s="159"/>
      <x:c r="B31" s="160"/>
      <x:c r="C31" s="159"/>
      <x:c r="D31" s="160"/>
      <x:c r="E31" s="159"/>
      <x:c r="F31" s="160"/>
      <x:c r="G31" s="159"/>
      <x:c r="H31" s="160"/>
      <x:c r="I31" s="159"/>
      <x:c r="J31" s="160"/>
      <x:c r="K31" s="159"/>
      <x:c r="L31" s="160"/>
      <x:c r="M31" s="159"/>
      <x:c r="N31" s="160"/>
    </x:row>
    <x:row r="33" ht="24" customHeight="1">
      <x:c r="A33" s="190" t="str">
        <x:v>Week 5 · 2026-10-26 to 2026-11-01 · Desktop and project types</x:v>
      </x:c>
      <x:c r="B33" s="191"/>
      <x:c r="C33" s="191"/>
      <x:c r="D33" s="191"/>
      <x:c r="E33" s="191"/>
      <x:c r="F33" s="191"/>
      <x:c r="G33" s="191"/>
      <x:c r="H33" s="191"/>
      <x:c r="I33" s="191"/>
      <x:c r="J33" s="191"/>
      <x:c r="K33" s="191"/>
      <x:c r="L33" s="191"/>
      <x:c r="M33" s="191"/>
      <x:c r="N33" s="192"/>
    </x:row>
    <x:row r="34" ht="24" customHeight="1">
      <x:c r="A34" s="139" t="str">
        <x:v>Mon 26 Oct</x:v>
      </x:c>
      <x:c r="B34" s="140"/>
      <x:c r="C34" s="139" t="str">
        <x:v>Tue 27 Oct</x:v>
      </x:c>
      <x:c r="D34" s="140"/>
      <x:c r="E34" s="139" t="str">
        <x:v>Wed 28 Oct</x:v>
      </x:c>
      <x:c r="F34" s="140"/>
      <x:c r="G34" s="139" t="str">
        <x:v>Thu 29 Oct</x:v>
      </x:c>
      <x:c r="H34" s="140"/>
      <x:c r="I34" s="139" t="str">
        <x:v>Fri 30 Oct</x:v>
      </x:c>
      <x:c r="J34" s="140"/>
      <x:c r="K34" s="139" t="str">
        <x:v>Sat 31 Oct</x:v>
      </x:c>
      <x:c r="L34" s="140"/>
      <x:c r="M34" s="139" t="str">
        <x:v>Sun 1 Nov</x:v>
      </x:c>
      <x:c r="N34" s="140"/>
    </x:row>
    <x:row r="35" ht="22" customHeight="1">
      <x:c r="A35" s="155" t="str">
        <x:v>Arrange or perform the clean Windows install using the written SmartScreen steps.</x:v>
      </x:c>
      <x:c r="B35" s="156"/>
      <x:c r="C35" s="155" t="str">
        <x:v>Confirm the download page shows correct files and unsigned-app disclosure to an entitled account.</x:v>
      </x:c>
      <x:c r="D35" s="156"/>
      <x:c r="E35" s="155" t="str">
        <x:v>Test Novella and Short Story create, write, default-sections, and export flows.</x:v>
      </x:c>
      <x:c r="F35" s="156"/>
      <x:c r="G35" s="155" t="str">
        <x:v>Test D&amp;D and TTRPG prep and recap, Character Builder, map sections, and export.</x:v>
      </x:c>
      <x:c r="H35" s="156"/>
      <x:c r="I35" s="155" t="str">
        <x:v>Test Novel and Comic workflows and approve the six-type evidence matrix.</x:v>
      </x:c>
      <x:c r="J35" s="156"/>
      <x:c r="K35" s="155" t="str">
        <x:v>Review the six-project-type evidence matrix and identify only the first missing proof.</x:v>
      </x:c>
      <x:c r="L35" s="156"/>
      <x:c r="M35" s="155" t="str">
        <x:v>Prepare a realistic disposable project and the phone, tablet, and desktop devices needed for Product Acceptance week.</x:v>
      </x:c>
      <x:c r="N35" s="156"/>
    </x:row>
    <x:row r="36" ht="22" customHeight="1">
      <x:c r="A36" s="157"/>
      <x:c r="B36" s="158"/>
      <x:c r="C36" s="157"/>
      <x:c r="D36" s="158"/>
      <x:c r="E36" s="157"/>
      <x:c r="F36" s="158"/>
      <x:c r="G36" s="157"/>
      <x:c r="H36" s="158"/>
      <x:c r="I36" s="157"/>
      <x:c r="J36" s="158"/>
      <x:c r="K36" s="157"/>
      <x:c r="L36" s="158"/>
      <x:c r="M36" s="157"/>
      <x:c r="N36" s="158"/>
    </x:row>
    <x:row r="37" ht="22" customHeight="1">
      <x:c r="A37" s="157"/>
      <x:c r="B37" s="158"/>
      <x:c r="C37" s="157"/>
      <x:c r="D37" s="158"/>
      <x:c r="E37" s="157"/>
      <x:c r="F37" s="158"/>
      <x:c r="G37" s="157"/>
      <x:c r="H37" s="158"/>
      <x:c r="I37" s="157"/>
      <x:c r="J37" s="158"/>
      <x:c r="K37" s="157"/>
      <x:c r="L37" s="158"/>
      <x:c r="M37" s="157"/>
      <x:c r="N37" s="158"/>
    </x:row>
    <x:row r="38" ht="22" customHeight="1">
      <x:c r="A38" s="159"/>
      <x:c r="B38" s="160"/>
      <x:c r="C38" s="159"/>
      <x:c r="D38" s="160"/>
      <x:c r="E38" s="159"/>
      <x:c r="F38" s="160"/>
      <x:c r="G38" s="159"/>
      <x:c r="H38" s="160"/>
      <x:c r="I38" s="159"/>
      <x:c r="J38" s="160"/>
      <x:c r="K38" s="159"/>
      <x:c r="L38" s="160"/>
      <x:c r="M38" s="159"/>
      <x:c r="N38" s="160"/>
    </x:row>
    <x:row r="40" ht="24" customHeight="1">
      <x:c r="A40" s="198" t="str">
        <x:v>Week 6 · 2026-11-02 to 2026-11-08 · Product acceptance</x:v>
      </x:c>
      <x:c r="B40" s="199"/>
      <x:c r="C40" s="199"/>
      <x:c r="D40" s="199"/>
      <x:c r="E40" s="199"/>
      <x:c r="F40" s="199"/>
      <x:c r="G40" s="199"/>
      <x:c r="H40" s="199"/>
      <x:c r="I40" s="199"/>
      <x:c r="J40" s="199"/>
      <x:c r="K40" s="199"/>
      <x:c r="L40" s="199"/>
      <x:c r="M40" s="199"/>
      <x:c r="N40" s="200"/>
    </x:row>
    <x:row r="41" ht="24" customHeight="1">
      <x:c r="A41" s="139" t="str">
        <x:v>Mon 2 Nov</x:v>
      </x:c>
      <x:c r="B41" s="140"/>
      <x:c r="C41" s="139" t="str">
        <x:v>Tue 3 Nov</x:v>
      </x:c>
      <x:c r="D41" s="140"/>
      <x:c r="E41" s="139" t="str">
        <x:v>Wed 4 Nov</x:v>
      </x:c>
      <x:c r="F41" s="140"/>
      <x:c r="G41" s="139" t="str">
        <x:v>Thu 5 Nov</x:v>
      </x:c>
      <x:c r="H41" s="140"/>
      <x:c r="I41" s="139" t="str">
        <x:v>Fri 6 Nov</x:v>
      </x:c>
      <x:c r="J41" s="140"/>
      <x:c r="K41" s="139" t="str">
        <x:v>Sat 7 Nov</x:v>
      </x:c>
      <x:c r="L41" s="140"/>
      <x:c r="M41" s="139" t="str">
        <x:v>Sun 8 Nov</x:v>
      </x:c>
      <x:c r="N41" s="140"/>
    </x:row>
    <x:row r="42" ht="22" customHeight="1">
      <x:c r="A42" s="155" t="str">
        <x:v>Test the rebuilt Map Builder using the owner acceptance checklist.</x:v>
      </x:c>
      <x:c r="B42" s="156"/>
      <x:c r="C42" s="155" t="str">
        <x:v>Perform one realistic large-project session across every core workspace.</x:v>
      </x:c>
      <x:c r="D42" s="156"/>
      <x:c r="E42" s="155" t="str">
        <x:v>Test each AI provider you intend to advertise; remove any provider you cannot verify.</x:v>
      </x:c>
      <x:c r="F42" s="156"/>
      <x:c r="G42" s="155" t="str">
        <x:v>Perform the guided phone, tablet, desktop, and accessibility pass.</x:v>
      </x:c>
      <x:c r="H42" s="156"/>
      <x:c r="I42" s="155" t="str">
        <x:v>Approve the feature-completeness report or remove an unready promise from launch.</x:v>
      </x:c>
      <x:c r="J42" s="156"/>
      <x:c r="K42" s="155" t="str">
        <x:v>Catch up the first unfinished product-acceptance check, or review the feature-completeness evidence.</x:v>
      </x:c>
      <x:c r="L42" s="156"/>
      <x:c r="M42" s="155" t="str">
        <x:v>Prepare the customer-copy review checklist for Legal and Release Candidate week.</x:v>
      </x:c>
      <x:c r="N42" s="156"/>
    </x:row>
    <x:row r="43" ht="22" customHeight="1">
      <x:c r="A43" s="157"/>
      <x:c r="B43" s="158"/>
      <x:c r="C43" s="157"/>
      <x:c r="D43" s="158"/>
      <x:c r="E43" s="157"/>
      <x:c r="F43" s="158"/>
      <x:c r="G43" s="157"/>
      <x:c r="H43" s="158"/>
      <x:c r="I43" s="157"/>
      <x:c r="J43" s="158"/>
      <x:c r="K43" s="157"/>
      <x:c r="L43" s="158"/>
      <x:c r="M43" s="157"/>
      <x:c r="N43" s="158"/>
    </x:row>
    <x:row r="44" ht="22" customHeight="1">
      <x:c r="A44" s="157"/>
      <x:c r="B44" s="158"/>
      <x:c r="C44" s="157"/>
      <x:c r="D44" s="158"/>
      <x:c r="E44" s="157"/>
      <x:c r="F44" s="158"/>
      <x:c r="G44" s="157"/>
      <x:c r="H44" s="158"/>
      <x:c r="I44" s="157"/>
      <x:c r="J44" s="158"/>
      <x:c r="K44" s="157"/>
      <x:c r="L44" s="158"/>
      <x:c r="M44" s="157"/>
      <x:c r="N44" s="158"/>
    </x:row>
    <x:row r="45" ht="22" customHeight="1">
      <x:c r="A45" s="159"/>
      <x:c r="B45" s="160"/>
      <x:c r="C45" s="159"/>
      <x:c r="D45" s="160"/>
      <x:c r="E45" s="159"/>
      <x:c r="F45" s="160"/>
      <x:c r="G45" s="159"/>
      <x:c r="H45" s="160"/>
      <x:c r="I45" s="159"/>
      <x:c r="J45" s="160"/>
      <x:c r="K45" s="159"/>
      <x:c r="L45" s="160"/>
      <x:c r="M45" s="159"/>
      <x:c r="N45" s="160"/>
    </x:row>
    <x:row r="47" ht="24" customHeight="1">
      <x:c r="A47" s="206" t="str">
        <x:v>Week 7 · 2026-11-09 to 2026-11-15 · Legal and release candidate</x:v>
      </x:c>
      <x:c r="B47" s="207"/>
      <x:c r="C47" s="207"/>
      <x:c r="D47" s="207"/>
      <x:c r="E47" s="207"/>
      <x:c r="F47" s="207"/>
      <x:c r="G47" s="207"/>
      <x:c r="H47" s="207"/>
      <x:c r="I47" s="207"/>
      <x:c r="J47" s="207"/>
      <x:c r="K47" s="207"/>
      <x:c r="L47" s="207"/>
      <x:c r="M47" s="207"/>
      <x:c r="N47" s="208"/>
    </x:row>
    <x:row r="48" ht="24" customHeight="1">
      <x:c r="A48" s="139" t="str">
        <x:v>Mon 9 Nov</x:v>
      </x:c>
      <x:c r="B48" s="140"/>
      <x:c r="C48" s="139" t="str">
        <x:v>Tue 10 Nov</x:v>
      </x:c>
      <x:c r="D48" s="140"/>
      <x:c r="E48" s="139" t="str">
        <x:v>Wed 11 Nov</x:v>
      </x:c>
      <x:c r="F48" s="140"/>
      <x:c r="G48" s="139" t="str">
        <x:v>Thu 12 Nov</x:v>
      </x:c>
      <x:c r="H48" s="140"/>
      <x:c r="I48" s="139" t="str">
        <x:v>Fri 13 Nov</x:v>
      </x:c>
      <x:c r="J48" s="140"/>
      <x:c r="K48" s="139" t="str">
        <x:v>Sat 14 Nov</x:v>
      </x:c>
      <x:c r="L48" s="140"/>
      <x:c r="M48" s="139" t="str">
        <x:v>Sun 15 Nov</x:v>
      </x:c>
      <x:c r="N48" s="140"/>
    </x:row>
    <x:row r="49" ht="22" customHeight="1">
      <x:c r="A49" s="155" t="str">
        <x:v>Read Pricing, FAQ, Terms, Privacy, cancellation, storage, Local Mode, Founder, AI, and export copy as a customer.</x:v>
      </x:c>
      <x:c r="B49" s="156"/>
      <x:c r="C49" s="155" t="str">
        <x:v>Approve final copy and business identity and contact details.</x:v>
      </x:c>
      <x:c r="D49" s="156"/>
      <x:c r="E49" s="155" t="str">
        <x:v>Work through the guided Stripe test-mode checklist one dashboard step at a time.</x:v>
      </x:c>
      <x:c r="F49" s="156"/>
      <x:c r="G49" s="155" t="str">
        <x:v>Approve beta-graduation email, launch announcement, pricing message, screenshots, and support template.</x:v>
      </x:c>
      <x:c r="H49" s="156"/>
      <x:c r="I49" s="155" t="str">
        <x:v>Hold the formal go or no-go review and say go only if every hard gate has evidence.</x:v>
      </x:c>
      <x:c r="J49" s="156"/>
      <x:c r="K49" s="155" t="str">
        <x:v>Record the go or no-go result and check that every later date follows it.</x:v>
      </x:c>
      <x:c r="L49" s="156"/>
      <x:c r="M49" s="155" t="str">
        <x:v>Review Monday's Beta-enrollment closure checklist one final time.</x:v>
      </x:c>
      <x:c r="N49" s="156"/>
    </x:row>
    <x:row r="50" ht="22" customHeight="1">
      <x:c r="A50" s="157"/>
      <x:c r="B50" s="158"/>
      <x:c r="C50" s="157"/>
      <x:c r="D50" s="158"/>
      <x:c r="E50" s="157"/>
      <x:c r="F50" s="158"/>
      <x:c r="G50" s="157"/>
      <x:c r="H50" s="158"/>
      <x:c r="I50" s="157"/>
      <x:c r="J50" s="158"/>
      <x:c r="K50" s="157"/>
      <x:c r="L50" s="158"/>
      <x:c r="M50" s="157"/>
      <x:c r="N50" s="158"/>
    </x:row>
    <x:row r="51" ht="22" customHeight="1">
      <x:c r="A51" s="157"/>
      <x:c r="B51" s="158"/>
      <x:c r="C51" s="157"/>
      <x:c r="D51" s="158"/>
      <x:c r="E51" s="157"/>
      <x:c r="F51" s="158"/>
      <x:c r="G51" s="157"/>
      <x:c r="H51" s="158"/>
      <x:c r="I51" s="157"/>
      <x:c r="J51" s="158"/>
      <x:c r="K51" s="157"/>
      <x:c r="L51" s="158"/>
      <x:c r="M51" s="157"/>
      <x:c r="N51" s="158"/>
    </x:row>
    <x:row r="52" ht="22" customHeight="1">
      <x:c r="A52" s="159"/>
      <x:c r="B52" s="160"/>
      <x:c r="C52" s="159"/>
      <x:c r="D52" s="160"/>
      <x:c r="E52" s="159"/>
      <x:c r="F52" s="160"/>
      <x:c r="G52" s="159"/>
      <x:c r="H52" s="160"/>
      <x:c r="I52" s="159"/>
      <x:c r="J52" s="160"/>
      <x:c r="K52" s="159"/>
      <x:c r="L52" s="160"/>
      <x:c r="M52" s="159"/>
      <x:c r="N52" s="160"/>
    </x:row>
    <x:row r="54" ht="24" customHeight="1">
      <x:c r="A54" s="214" t="str">
        <x:v>Week 8 · 2026-11-16 to 2026-11-22 · Marketing runway 1</x:v>
      </x:c>
      <x:c r="B54" s="215"/>
      <x:c r="C54" s="215"/>
      <x:c r="D54" s="215"/>
      <x:c r="E54" s="215"/>
      <x:c r="F54" s="215"/>
      <x:c r="G54" s="215"/>
      <x:c r="H54" s="215"/>
      <x:c r="I54" s="215"/>
      <x:c r="J54" s="215"/>
      <x:c r="K54" s="215"/>
      <x:c r="L54" s="215"/>
      <x:c r="M54" s="215"/>
      <x:c r="N54" s="216"/>
    </x:row>
    <x:row r="55" ht="24" customHeight="1">
      <x:c r="A55" s="139" t="str">
        <x:v>Mon 16 Nov</x:v>
      </x:c>
      <x:c r="B55" s="140"/>
      <x:c r="C55" s="139" t="str">
        <x:v>Tue 17 Nov</x:v>
      </x:c>
      <x:c r="D55" s="140"/>
      <x:c r="E55" s="139" t="str">
        <x:v>Wed 18 Nov</x:v>
      </x:c>
      <x:c r="F55" s="140"/>
      <x:c r="G55" s="139" t="str">
        <x:v>Thu 19 Nov</x:v>
      </x:c>
      <x:c r="H55" s="140"/>
      <x:c r="I55" s="139" t="str">
        <x:v>Fri 20 Nov</x:v>
      </x:c>
      <x:c r="J55" s="140"/>
      <x:c r="K55" s="139" t="str">
        <x:v>Sat 21 Nov</x:v>
      </x:c>
      <x:c r="L55" s="140"/>
      <x:c r="M55" s="139" t="str">
        <x:v>Sun 22 Nov</x:v>
      </x:c>
      <x:c r="N55" s="140"/>
    </x:row>
    <x:row r="56" ht="22" customHeight="1">
      <x:c r="A56" s="155" t="str">
        <x:v>If go, approve closing new Beta enrollment and removing Beta from public plan choices.</x:v>
      </x:c>
      <x:c r="B56" s="156"/>
      <x:c r="C56" s="155" t="str">
        <x:v>Email existing Beta testers with launch timing, retained access, notice path, and backup steps.</x:v>
      </x:c>
      <x:c r="D56" s="156"/>
      <x:c r="E56" s="155" t="str">
        <x:v>Publish the 30 November launch announcement and updated marketing pages.</x:v>
      </x:c>
      <x:c r="F56" s="156"/>
      <x:c r="G56" s="155" t="str">
        <x:v>Test the signed-out visitor journey on phone and desktop.</x:v>
      </x:c>
      <x:c r="H56" s="156"/>
      <x:c r="I56" s="155" t="str">
        <x:v>Review interest, tester replies, support load, and analytics; approve copy-only corrections.</x:v>
      </x:c>
      <x:c r="J56" s="156"/>
      <x:c r="K56" s="155" t="str">
        <x:v>Review the week's feedback and list only launch-blocking or copy-only follow-ups.</x:v>
      </x:c>
      <x:c r="L56" s="156"/>
      <x:c r="M56" s="155" t="str">
        <x:v>Prepare the main use-case story and demonstration materials for Release Candidate 2 week.</x:v>
      </x:c>
      <x:c r="N56" s="156"/>
    </x:row>
    <x:row r="57" ht="22" customHeight="1">
      <x:c r="A57" s="157"/>
      <x:c r="B57" s="158"/>
      <x:c r="C57" s="157"/>
      <x:c r="D57" s="158"/>
      <x:c r="E57" s="157"/>
      <x:c r="F57" s="158"/>
      <x:c r="G57" s="157"/>
      <x:c r="H57" s="158"/>
      <x:c r="I57" s="157"/>
      <x:c r="J57" s="158"/>
      <x:c r="K57" s="157"/>
      <x:c r="L57" s="158"/>
      <x:c r="M57" s="157"/>
      <x:c r="N57" s="158"/>
    </x:row>
    <x:row r="58" ht="22" customHeight="1">
      <x:c r="A58" s="157"/>
      <x:c r="B58" s="158"/>
      <x:c r="C58" s="157"/>
      <x:c r="D58" s="158"/>
      <x:c r="E58" s="157"/>
      <x:c r="F58" s="158"/>
      <x:c r="G58" s="157"/>
      <x:c r="H58" s="158"/>
      <x:c r="I58" s="157"/>
      <x:c r="J58" s="158"/>
      <x:c r="K58" s="157"/>
      <x:c r="L58" s="158"/>
      <x:c r="M58" s="157"/>
      <x:c r="N58" s="158"/>
    </x:row>
    <x:row r="59" ht="22" customHeight="1">
      <x:c r="A59" s="159"/>
      <x:c r="B59" s="160"/>
      <x:c r="C59" s="159"/>
      <x:c r="D59" s="160"/>
      <x:c r="E59" s="159"/>
      <x:c r="F59" s="160"/>
      <x:c r="G59" s="159"/>
      <x:c r="H59" s="160"/>
      <x:c r="I59" s="159"/>
      <x:c r="J59" s="160"/>
      <x:c r="K59" s="159"/>
      <x:c r="L59" s="160"/>
      <x:c r="M59" s="159"/>
      <x:c r="N59" s="160"/>
    </x:row>
    <x:row r="61" ht="24" customHeight="1">
      <x:c r="A61" s="222" t="str">
        <x:v>Week 9 · 2026-11-23 to 2026-11-29 · Marketing runway 2</x:v>
      </x:c>
      <x:c r="B61" s="223"/>
      <x:c r="C61" s="223"/>
      <x:c r="D61" s="223"/>
      <x:c r="E61" s="223"/>
      <x:c r="F61" s="223"/>
      <x:c r="G61" s="223"/>
      <x:c r="H61" s="223"/>
      <x:c r="I61" s="223"/>
      <x:c r="J61" s="223"/>
      <x:c r="K61" s="223"/>
      <x:c r="L61" s="223"/>
      <x:c r="M61" s="223"/>
      <x:c r="N61" s="224"/>
    </x:row>
    <x:row r="62" ht="24" customHeight="1">
      <x:c r="A62" s="139" t="str">
        <x:v>Mon 23 Nov</x:v>
      </x:c>
      <x:c r="B62" s="140"/>
      <x:c r="C62" s="139" t="str">
        <x:v>Tue 24 Nov</x:v>
      </x:c>
      <x:c r="D62" s="140"/>
      <x:c r="E62" s="139" t="str">
        <x:v>Wed 25 Nov</x:v>
      </x:c>
      <x:c r="F62" s="140"/>
      <x:c r="G62" s="139" t="str">
        <x:v>Thu 26 Nov</x:v>
      </x:c>
      <x:c r="H62" s="140"/>
      <x:c r="I62" s="139" t="str">
        <x:v>Fri 27 Nov</x:v>
      </x:c>
      <x:c r="J62" s="140"/>
      <x:c r="K62" s="139" t="str">
        <x:v>Sat 28 Nov</x:v>
      </x:c>
      <x:c r="L62" s="140"/>
      <x:c r="M62" s="139" t="str">
        <x:v>Sun 29 Nov</x:v>
      </x:c>
      <x:c r="N62" s="140"/>
    </x:row>
    <x:row r="63" ht="22" customHeight="1">
      <x:c r="A63" s="155" t="str">
        <x:v>Publish the main use-case story and demonstrate one complete writer workflow.</x:v>
      </x:c>
      <x:c r="B63" s="156"/>
      <x:c r="C63" s="155" t="str">
        <x:v>Publish the ownership, export, Local Mode, and desktop message.</x:v>
      </x:c>
      <x:c r="D63" s="156"/>
      <x:c r="E63" s="155" t="str">
        <x:v>Publish project-type examples and confirm all six are described honestly.</x:v>
      </x:c>
      <x:c r="F63" s="156"/>
      <x:c r="G63" s="155" t="str">
        <x:v>Review the support runbook, refunds, cancellation, incident contacts, and rollback triggers.</x:v>
      </x:c>
      <x:c r="H63" s="156"/>
      <x:c r="I63" s="155" t="str">
        <x:v>Perform the final guided purchase rehearsal and sign the launch checklist.</x:v>
      </x:c>
      <x:c r="J63" s="156"/>
      <x:c r="K63" s="155" t="str">
        <x:v>Review the final rehearsal evidence and confirm the production checkout switch is still off.</x:v>
      </x:c>
      <x:c r="L63" s="156"/>
      <x:c r="M63" s="155" t="str">
        <x:v>Run the launch-eve paperwork and backup preflight without changing production.</x:v>
      </x:c>
      <x:c r="N63" s="156"/>
    </x:row>
    <x:row r="64" ht="22" customHeight="1">
      <x:c r="A64" s="157"/>
      <x:c r="B64" s="158"/>
      <x:c r="C64" s="157"/>
      <x:c r="D64" s="158"/>
      <x:c r="E64" s="157"/>
      <x:c r="F64" s="158"/>
      <x:c r="G64" s="157"/>
      <x:c r="H64" s="158"/>
      <x:c r="I64" s="157"/>
      <x:c r="J64" s="158"/>
      <x:c r="K64" s="157"/>
      <x:c r="L64" s="158"/>
      <x:c r="M64" s="157"/>
      <x:c r="N64" s="158"/>
    </x:row>
    <x:row r="65" ht="22" customHeight="1">
      <x:c r="A65" s="157"/>
      <x:c r="B65" s="158"/>
      <x:c r="C65" s="157"/>
      <x:c r="D65" s="158"/>
      <x:c r="E65" s="157"/>
      <x:c r="F65" s="158"/>
      <x:c r="G65" s="157"/>
      <x:c r="H65" s="158"/>
      <x:c r="I65" s="157"/>
      <x:c r="J65" s="158"/>
      <x:c r="K65" s="157"/>
      <x:c r="L65" s="158"/>
      <x:c r="M65" s="157"/>
      <x:c r="N65" s="158"/>
    </x:row>
    <x:row r="66" ht="22" customHeight="1">
      <x:c r="A66" s="159"/>
      <x:c r="B66" s="160"/>
      <x:c r="C66" s="159"/>
      <x:c r="D66" s="160"/>
      <x:c r="E66" s="159"/>
      <x:c r="F66" s="160"/>
      <x:c r="G66" s="159"/>
      <x:c r="H66" s="160"/>
      <x:c r="I66" s="159"/>
      <x:c r="J66" s="160"/>
      <x:c r="K66" s="159"/>
      <x:c r="L66" s="160"/>
      <x:c r="M66" s="159"/>
      <x:c r="N66" s="160"/>
    </x:row>
    <x:row r="68" ht="24" customHeight="1">
      <x:c r="A68" s="230" t="str">
        <x:v>Week 10 · 2026-11-30 to 2026-11-30 · Launch</x:v>
      </x:c>
      <x:c r="B68" s="231"/>
      <x:c r="C68" s="231"/>
      <x:c r="D68" s="231"/>
      <x:c r="E68" s="231"/>
      <x:c r="F68" s="231"/>
      <x:c r="G68" s="231"/>
      <x:c r="H68" s="231"/>
      <x:c r="I68" s="231"/>
      <x:c r="J68" s="231"/>
      <x:c r="K68" s="231"/>
      <x:c r="L68" s="231"/>
      <x:c r="M68" s="231"/>
      <x:c r="N68" s="232"/>
    </x:row>
    <x:row r="69" ht="24" customHeight="1">
      <x:c r="A69" s="139" t="str">
        <x:v>Mon 30 Nov</x:v>
      </x:c>
      <x:c r="B69" s="140"/>
      <x:c r="C69" s="139" t="str"/>
      <x:c r="D69" s="140"/>
      <x:c r="E69" s="139" t="str"/>
      <x:c r="F69" s="140"/>
      <x:c r="G69" s="139" t="str"/>
      <x:c r="H69" s="140"/>
      <x:c r="I69" s="139" t="str"/>
      <x:c r="J69" s="140"/>
      <x:c r="K69" s="139" t="str"/>
      <x:c r="L69" s="140"/>
      <x:c r="M69" s="139" t="str"/>
      <x:c r="N69" s="140"/>
    </x:row>
    <x:row r="70" ht="22" customHeight="1">
      <x:c r="A70" s="155" t="str">
        <x:v>Approve the production checkout switch, announce launch, and monitor transactions and support.</x:v>
      </x:c>
      <x:c r="B70" s="156"/>
      <x:c r="C70" s="247" t="str"/>
      <x:c r="D70" s="248"/>
      <x:c r="E70" s="247" t="str"/>
      <x:c r="F70" s="248"/>
      <x:c r="G70" s="247" t="str"/>
      <x:c r="H70" s="248"/>
      <x:c r="I70" s="247" t="str"/>
      <x:c r="J70" s="248"/>
      <x:c r="K70" s="247" t="str"/>
      <x:c r="L70" s="248"/>
      <x:c r="M70" s="247" t="str"/>
      <x:c r="N70" s="248"/>
    </x:row>
    <x:row r="71" ht="22" customHeight="1">
      <x:c r="A71" s="157"/>
      <x:c r="B71" s="158"/>
      <x:c r="C71" s="249"/>
      <x:c r="D71" s="250"/>
      <x:c r="E71" s="249"/>
      <x:c r="F71" s="250"/>
      <x:c r="G71" s="249"/>
      <x:c r="H71" s="250"/>
      <x:c r="I71" s="249"/>
      <x:c r="J71" s="250"/>
      <x:c r="K71" s="249"/>
      <x:c r="L71" s="250"/>
      <x:c r="M71" s="249"/>
      <x:c r="N71" s="250"/>
    </x:row>
    <x:row r="72" ht="22" customHeight="1">
      <x:c r="A72" s="157"/>
      <x:c r="B72" s="158"/>
      <x:c r="C72" s="249"/>
      <x:c r="D72" s="250"/>
      <x:c r="E72" s="249"/>
      <x:c r="F72" s="250"/>
      <x:c r="G72" s="249"/>
      <x:c r="H72" s="250"/>
      <x:c r="I72" s="249"/>
      <x:c r="J72" s="250"/>
      <x:c r="K72" s="249"/>
      <x:c r="L72" s="250"/>
      <x:c r="M72" s="249"/>
      <x:c r="N72" s="250"/>
    </x:row>
    <x:row r="73" ht="22" customHeight="1">
      <x:c r="A73" s="159"/>
      <x:c r="B73" s="160"/>
      <x:c r="C73" s="251"/>
      <x:c r="D73" s="252"/>
      <x:c r="E73" s="251"/>
      <x:c r="F73" s="252"/>
      <x:c r="G73" s="251"/>
      <x:c r="H73" s="252"/>
      <x:c r="I73" s="251"/>
      <x:c r="J73" s="252"/>
      <x:c r="K73" s="251"/>
      <x:c r="L73" s="252"/>
      <x:c r="M73" s="251"/>
      <x:c r="N73" s="252"/>
    </x:row>
  </x:sheetData>
  <x:mergeCells>
    <x:mergeCell ref="A2:N2"/>
    <x:mergeCell ref="A3:N3"/>
    <x:mergeCell ref="A5:N5"/>
    <x:mergeCell ref="A6:B6"/>
    <x:mergeCell ref="A7:B10"/>
    <x:mergeCell ref="C6:D6"/>
    <x:mergeCell ref="C7:D10"/>
    <x:mergeCell ref="E6:F6"/>
    <x:mergeCell ref="E7:F10"/>
    <x:mergeCell ref="G6:H6"/>
    <x:mergeCell ref="G7:H10"/>
    <x:mergeCell ref="I6:J6"/>
    <x:mergeCell ref="I7:J10"/>
    <x:mergeCell ref="K6:L6"/>
    <x:mergeCell ref="K7:L10"/>
    <x:mergeCell ref="M6:N6"/>
    <x:mergeCell ref="M7:N10"/>
    <x:mergeCell ref="A12:N12"/>
    <x:mergeCell ref="A13:B13"/>
    <x:mergeCell ref="A14:B17"/>
    <x:mergeCell ref="C13:D13"/>
    <x:mergeCell ref="C14:D17"/>
    <x:mergeCell ref="E13:F13"/>
    <x:mergeCell ref="E14:F17"/>
    <x:mergeCell ref="G13:H13"/>
    <x:mergeCell ref="G14:H17"/>
    <x:mergeCell ref="I13:J13"/>
    <x:mergeCell ref="I14:J17"/>
    <x:mergeCell ref="K13:L13"/>
    <x:mergeCell ref="K14:L17"/>
    <x:mergeCell ref="M13:N13"/>
    <x:mergeCell ref="M14:N17"/>
    <x:mergeCell ref="A19:N19"/>
    <x:mergeCell ref="A20:B20"/>
    <x:mergeCell ref="A21:B24"/>
    <x:mergeCell ref="C20:D20"/>
    <x:mergeCell ref="C21:D24"/>
    <x:mergeCell ref="E20:F20"/>
    <x:mergeCell ref="E21:F24"/>
    <x:mergeCell ref="G20:H20"/>
    <x:mergeCell ref="G21:H24"/>
    <x:mergeCell ref="I20:J20"/>
    <x:mergeCell ref="I21:J24"/>
    <x:mergeCell ref="K20:L20"/>
    <x:mergeCell ref="K21:L24"/>
    <x:mergeCell ref="M20:N20"/>
    <x:mergeCell ref="M21:N24"/>
    <x:mergeCell ref="A26:N26"/>
    <x:mergeCell ref="A27:B27"/>
    <x:mergeCell ref="A28:B31"/>
    <x:mergeCell ref="C27:D27"/>
    <x:mergeCell ref="C28:D31"/>
    <x:mergeCell ref="E27:F27"/>
    <x:mergeCell ref="E28:F31"/>
    <x:mergeCell ref="G27:H27"/>
    <x:mergeCell ref="G28:H31"/>
    <x:mergeCell ref="I27:J27"/>
    <x:mergeCell ref="I28:J31"/>
    <x:mergeCell ref="K27:L27"/>
    <x:mergeCell ref="K28:L31"/>
    <x:mergeCell ref="M27:N27"/>
    <x:mergeCell ref="M28:N31"/>
    <x:mergeCell ref="A33:N33"/>
    <x:mergeCell ref="A34:B34"/>
    <x:mergeCell ref="A35:B38"/>
    <x:mergeCell ref="C34:D34"/>
    <x:mergeCell ref="C35:D38"/>
    <x:mergeCell ref="E34:F34"/>
    <x:mergeCell ref="E35:F38"/>
    <x:mergeCell ref="G34:H34"/>
    <x:mergeCell ref="G35:H38"/>
    <x:mergeCell ref="I34:J34"/>
    <x:mergeCell ref="I35:J38"/>
    <x:mergeCell ref="K34:L34"/>
    <x:mergeCell ref="K35:L38"/>
    <x:mergeCell ref="M34:N34"/>
    <x:mergeCell ref="M35:N38"/>
    <x:mergeCell ref="A40:N40"/>
    <x:mergeCell ref="A41:B41"/>
    <x:mergeCell ref="A42:B45"/>
    <x:mergeCell ref="C41:D41"/>
    <x:mergeCell ref="C42:D45"/>
    <x:mergeCell ref="E41:F41"/>
    <x:mergeCell ref="E42:F45"/>
    <x:mergeCell ref="G41:H41"/>
    <x:mergeCell ref="G42:H45"/>
    <x:mergeCell ref="I41:J41"/>
    <x:mergeCell ref="I42:J45"/>
    <x:mergeCell ref="K41:L41"/>
    <x:mergeCell ref="K42:L45"/>
    <x:mergeCell ref="M41:N41"/>
    <x:mergeCell ref="M42:N45"/>
    <x:mergeCell ref="A47:N47"/>
    <x:mergeCell ref="A48:B48"/>
    <x:mergeCell ref="A49:B52"/>
    <x:mergeCell ref="C48:D48"/>
    <x:mergeCell ref="C49:D52"/>
    <x:mergeCell ref="E48:F48"/>
    <x:mergeCell ref="E49:F52"/>
    <x:mergeCell ref="G48:H48"/>
    <x:mergeCell ref="G49:H52"/>
    <x:mergeCell ref="I48:J48"/>
    <x:mergeCell ref="I49:J52"/>
    <x:mergeCell ref="K48:L48"/>
    <x:mergeCell ref="K49:L52"/>
    <x:mergeCell ref="M48:N48"/>
    <x:mergeCell ref="M49:N52"/>
    <x:mergeCell ref="A54:N54"/>
    <x:mergeCell ref="A55:B55"/>
    <x:mergeCell ref="A56:B59"/>
    <x:mergeCell ref="C55:D55"/>
    <x:mergeCell ref="C56:D59"/>
    <x:mergeCell ref="E55:F55"/>
    <x:mergeCell ref="E56:F59"/>
    <x:mergeCell ref="G55:H55"/>
    <x:mergeCell ref="G56:H59"/>
    <x:mergeCell ref="I55:J55"/>
    <x:mergeCell ref="I56:J59"/>
    <x:mergeCell ref="K55:L55"/>
    <x:mergeCell ref="K56:L59"/>
    <x:mergeCell ref="M55:N55"/>
    <x:mergeCell ref="M56:N59"/>
    <x:mergeCell ref="A61:N61"/>
    <x:mergeCell ref="A62:B62"/>
    <x:mergeCell ref="A63:B66"/>
    <x:mergeCell ref="C62:D62"/>
    <x:mergeCell ref="C63:D66"/>
    <x:mergeCell ref="E62:F62"/>
    <x:mergeCell ref="E63:F66"/>
    <x:mergeCell ref="G62:H62"/>
    <x:mergeCell ref="G63:H66"/>
    <x:mergeCell ref="I62:J62"/>
    <x:mergeCell ref="I63:J66"/>
    <x:mergeCell ref="K62:L62"/>
    <x:mergeCell ref="K63:L66"/>
    <x:mergeCell ref="M62:N62"/>
    <x:mergeCell ref="M63:N66"/>
    <x:mergeCell ref="A68:N68"/>
    <x:mergeCell ref="A69:B69"/>
    <x:mergeCell ref="A70:B73"/>
    <x:mergeCell ref="C69:D69"/>
    <x:mergeCell ref="C70:D73"/>
    <x:mergeCell ref="E69:F69"/>
    <x:mergeCell ref="E70:F73"/>
    <x:mergeCell ref="G69:H69"/>
    <x:mergeCell ref="G70:H73"/>
    <x:mergeCell ref="I69:J69"/>
    <x:mergeCell ref="I70:J73"/>
    <x:mergeCell ref="K69:L69"/>
    <x:mergeCell ref="K70:L73"/>
    <x:mergeCell ref="M69:N69"/>
    <x:mergeCell ref="M70:N73"/>
  </x:mergeCells>
  <x:pageMargins left="0.7" right="0.7" top="0.75" bottom="0.75" header="0.3" footer="0.3"/>
</x:worksheet>
</file>

<file path=xl/worksheets/sheet4.xml><?xml version="1.0" encoding="utf-8"?>
<x:worksheet xmlns:x="http://schemas.openxmlformats.org/spreadsheetml/2006/main">
  <x:sheetPr>
    <x:tabColor rgb="FF7B8794"/>
  </x:sheetPr>
  <x:sheetViews>
    <x:sheetView showGridLines="0" workbookViewId="0">
      <x:pane ySplit="5" topLeftCell="A6" activePane="bottomLeft" state="frozen"/>
    </x:sheetView>
  </x:sheetViews>
  <x:sheetFormatPr defaultRowHeight="15"/>
  <x:cols>
    <x:col min="1" max="1" width="25" hidden="0" customWidth="1"/>
    <x:col min="2" max="2" width="65" hidden="0" customWidth="1"/>
    <x:col min="3" max="3" width="65" hidden="0" customWidth="1"/>
  </x:cols>
  <x:sheetData>
    <x:row r="2">
      <x:c r="A2" s="1" t="str">
        <x:v>Plain-English glossary</x:v>
      </x:c>
    </x:row>
    <x:row r="3">
      <x:c r="A3" s="2" t="str">
        <x:v>You do not need to memorise these terms. Use this page when a word in the plan is unfamiliar.</x:v>
      </x:c>
    </x:row>
    <x:row r="5">
      <x:c r="A5" s="254" t="str">
        <x:v>Term</x:v>
      </x:c>
      <x:c r="B5" s="254" t="str">
        <x:v>What it means</x:v>
      </x:c>
      <x:c r="C5" s="254" t="str">
        <x:v>Why you care</x:v>
      </x:c>
    </x:row>
    <x:row r="6" ht="44" customHeight="1">
      <x:c r="A6" s="261" t="str">
        <x:v>App / application</x:v>
      </x:c>
      <x:c r="B6" s="261" t="str">
        <x:v>The YOW software people use in a browser or as a downloaded desktop program.</x:v>
      </x:c>
      <x:c r="C6" s="261" t="str">
        <x:v>This is the product you are preparing to sell.</x:v>
      </x:c>
    </x:row>
    <x:row r="7" ht="44" customHeight="1">
      <x:c r="A7" s="112" t="str">
        <x:v>Build</x:v>
      </x:c>
      <x:c r="B7" s="112" t="str">
        <x:v>A packaged version of the current code that can be opened and tested.</x:v>
      </x:c>
      <x:c r="C7" s="112" t="str">
        <x:v>A successful build means the code can be turned into a usable app; it does not prove every feature works.</x:v>
      </x:c>
    </x:row>
    <x:row r="8" ht="44" customHeight="1">
      <x:c r="A8" s="112" t="str">
        <x:v>QA</x:v>
      </x:c>
      <x:c r="B8" s="112" t="str">
        <x:v>Quality assurance: deliberately testing the product and recording what passed or failed.</x:v>
      </x:c>
      <x:c r="C8" s="112" t="str">
        <x:v>QA is how you avoid discovering serious problems after customers pay.</x:v>
      </x:c>
    </x:row>
    <x:row r="9" ht="44" customHeight="1">
      <x:c r="A9" s="112" t="str">
        <x:v>Automated test</x:v>
      </x:c>
      <x:c r="B9" s="112" t="str">
        <x:v>A small program that checks expected behaviour automatically.</x:v>
      </x:c>
      <x:c r="C9" s="112" t="str">
        <x:v>It catches repeat problems quickly, but it cannot replace every real-person test.</x:v>
      </x:c>
    </x:row>
    <x:row r="10" ht="44" customHeight="1">
      <x:c r="A10" s="112" t="str">
        <x:v>Smoke test</x:v>
      </x:c>
      <x:c r="B10" s="112" t="str">
        <x:v>A short check of the most important path, such as sign in, write, save, and export.</x:v>
      </x:c>
      <x:c r="C10" s="112" t="str">
        <x:v>If this fails, deeper testing should stop until the basic path is repaired.</x:v>
      </x:c>
    </x:row>
    <x:row r="11" ht="44" customHeight="1">
      <x:c r="A11" s="112" t="str">
        <x:v>Production</x:v>
      </x:c>
      <x:c r="B11" s="112" t="str">
        <x:v>The live YOW website and live customer data.</x:v>
      </x:c>
      <x:c r="C11" s="112" t="str">
        <x:v>Actions here can affect real people, so the plan tells you when to stop and ask.</x:v>
      </x:c>
    </x:row>
    <x:row r="12" ht="44" customHeight="1">
      <x:c r="A12" s="112" t="str">
        <x:v>Preview / staging</x:v>
      </x:c>
      <x:c r="B12" s="112" t="str">
        <x:v>A non-public or test copy used before changing production.</x:v>
      </x:c>
      <x:c r="C12" s="112" t="str">
        <x:v>It lets you rehearse safely.</x:v>
      </x:c>
    </x:row>
    <x:row r="13" ht="44" customHeight="1">
      <x:c r="A13" s="112" t="str">
        <x:v>Deploy</x:v>
      </x:c>
      <x:c r="B13" s="112" t="str">
        <x:v>Publish a tested version of the app or backend so the live service uses it.</x:v>
      </x:c>
      <x:c r="C13" s="112" t="str">
        <x:v>Code changes are not live until deployed.</x:v>
      </x:c>
    </x:row>
    <x:row r="14" ht="44" customHeight="1">
      <x:c r="A14" s="112" t="str">
        <x:v>Database</x:v>
      </x:c>
      <x:c r="B14" s="112" t="str">
        <x:v>The organised storage holding accounts, projects, and other cloud information.</x:v>
      </x:c>
      <x:c r="C14" s="112" t="str">
        <x:v>Unsafe database changes can lose or expose customer work.</x:v>
      </x:c>
    </x:row>
    <x:row r="15" ht="44" customHeight="1">
      <x:c r="A15" s="112" t="str">
        <x:v>Supabase</x:v>
      </x:c>
      <x:c r="B15" s="112" t="str">
        <x:v>The service YOW uses for sign-in, cloud database, storage, and backend functions.</x:v>
      </x:c>
      <x:c r="C15" s="112" t="str">
        <x:v>Several owner-only launch checks happen in its dashboard.</x:v>
      </x:c>
    </x:row>
    <x:row r="16" ht="44" customHeight="1">
      <x:c r="A16" s="112" t="str">
        <x:v>Migration</x:v>
      </x:c>
      <x:c r="B16" s="112" t="str">
        <x:v>A versioned instruction that changes the database structure or security rules.</x:v>
      </x:c>
      <x:c r="C16" s="112" t="str">
        <x:v>It must be applied and verified before matching app code depends on it.</x:v>
      </x:c>
    </x:row>
    <x:row r="17" ht="44" customHeight="1">
      <x:c r="A17" s="112" t="str">
        <x:v>RLS</x:v>
      </x:c>
      <x:c r="B17" s="112" t="str">
        <x:v>Row Level Security: database rules controlling which signed-in user may read or change each row.</x:v>
      </x:c>
      <x:c r="C17" s="112" t="str">
        <x:v>Correct RLS prevents one customer seeing another customer's data.</x:v>
      </x:c>
    </x:row>
    <x:row r="18" ht="44" customHeight="1">
      <x:c r="A18" s="112" t="str">
        <x:v>Stripe</x:v>
      </x:c>
      <x:c r="B18" s="112" t="str">
        <x:v>The payment service used for checkout, subscriptions, refunds, and billing events.</x:v>
      </x:c>
      <x:c r="C18" s="112" t="str">
        <x:v>It must grant access only after verified payment.</x:v>
      </x:c>
    </x:row>
    <x:row r="19" ht="44" customHeight="1">
      <x:c r="A19" s="112" t="str">
        <x:v>Webhook</x:v>
      </x:c>
      <x:c r="B19" s="112" t="str">
        <x:v>A secure message sent automatically from Stripe to YOW when a payment event happens.</x:v>
      </x:c>
      <x:c r="C19" s="112" t="str">
        <x:v>YOW uses it to grant, renew, cancel, or revoke paid access.</x:v>
      </x:c>
    </x:row>
    <x:row r="20" ht="44" customHeight="1">
      <x:c r="A20" s="112" t="str">
        <x:v>Environment variable / secret</x:v>
      </x:c>
      <x:c r="B20" s="112" t="str">
        <x:v>A private configuration value stored outside the code, such as an API key.</x:v>
      </x:c>
      <x:c r="C20" s="112" t="str">
        <x:v>Never paste these values into chat, screenshots, or the workbook.</x:v>
      </x:c>
    </x:row>
    <x:row r="21" ht="44" customHeight="1">
      <x:c r="A21" s="112" t="str">
        <x:v>API</x:v>
      </x:c>
      <x:c r="B21" s="112" t="str">
        <x:v>A controlled way for one piece of software to request work or data from another.</x:v>
      </x:c>
      <x:c r="C21" s="112" t="str">
        <x:v>YOW's browser, backend, Supabase, Stripe, and AI providers communicate through APIs.</x:v>
      </x:c>
    </x:row>
    <x:row r="22" ht="44" customHeight="1">
      <x:c r="A22" s="112" t="str">
        <x:v>Release candidate</x:v>
      </x:c>
      <x:c r="B22" s="112" t="str">
        <x:v>The exact version proposed for launch after feature work stops.</x:v>
      </x:c>
      <x:c r="C22" s="112" t="str">
        <x:v>Only blocker fixes should change it before launch.</x:v>
      </x:c>
    </x:row>
    <x:row r="23" ht="44" customHeight="1">
      <x:c r="A23" s="112" t="str">
        <x:v>Rollback</x:v>
      </x:c>
      <x:c r="B23" s="112" t="str">
        <x:v>Return production to the last known-good version after a serious launch problem.</x:v>
      </x:c>
      <x:c r="C23" s="112" t="str">
        <x:v>It is the safe exit if launch behaviour differs from rehearsal.</x:v>
      </x:c>
    </x:row>
    <x:row r="24" ht="44" customHeight="1">
      <x:c r="A24" s="112" t="str">
        <x:v>Backup</x:v>
      </x:c>
      <x:c r="B24" s="112" t="str">
        <x:v>A separate copy that can restore data after damage or deletion.</x:v>
      </x:c>
      <x:c r="C24" s="112" t="str">
        <x:v>Take one before risky tests or launch changes.</x:v>
      </x:c>
    </x:row>
    <x:row r="25" ht="44" customHeight="1">
      <x:c r="A25" s="112" t="str">
        <x:v>Clean-machine test</x:v>
      </x:c>
      <x:c r="B25" s="112" t="str">
        <x:v>Install and use the app on a computer that has not been prepared by the developer.</x:v>
      </x:c>
      <x:c r="C25" s="112" t="str">
        <x:v>It reveals missing files, permissions, or instructions that a development computer hides.</x:v>
      </x:c>
    </x:row>
    <x:row r="26" ht="44" customHeight="1">
      <x:c r="A26" s="112" t="str">
        <x:v>Hash / checksum</x:v>
      </x:c>
      <x:c r="B26" s="112" t="str">
        <x:v>A long fingerprint calculated from a file.</x:v>
      </x:c>
      <x:c r="C26" s="112" t="str">
        <x:v>Matching hashes prove the downloaded installer is the exact approved file.</x:v>
      </x:c>
    </x:row>
    <x:row r="27" ht="44" customHeight="1">
      <x:c r="A27" s="112" t="str">
        <x:v>Entitlement</x:v>
      </x:c>
      <x:c r="B27" s="112" t="str">
        <x:v>The server-controlled record of what a plan allows, such as desktop access or AI tools.</x:v>
      </x:c>
      <x:c r="C27" s="112" t="str">
        <x:v>A user must never be able to grant paid access to themselves.</x:v>
      </x:c>
    </x:row>
    <x:row r="28" ht="44" customHeight="1">
      <x:c r="A28" s="112" t="str">
        <x:v>Beta</x:v>
      </x:c>
      <x:c r="B28" s="112" t="str">
        <x:v>Pre-launch access used for testing with real users before normal paid launch.</x:v>
      </x:c>
      <x:c r="C28" s="112" t="str">
        <x:v>Closing Beta enrollment is different from deleting or abruptly revoking existing testers.</x:v>
      </x:c>
    </x:row>
    <x:row r="29" ht="44" customHeight="1">
      <x:c r="A29" s="112" t="str">
        <x:v>Hard gate</x:v>
      </x:c>
      <x:c r="B29" s="112" t="str">
        <x:v>A check that must pass before the planned launch can continue.</x:v>
      </x:c>
      <x:c r="C29" s="112" t="str">
        <x:v>A failed hard gate moves the date; it is not skipped.</x:v>
      </x:c>
    </x:row>
    <x:row r="30" ht="44" customHeight="1">
      <x:c r="A30" s="262" t="str">
        <x:v>CSP</x:v>
      </x:c>
      <x:c r="B30" s="262" t="str">
        <x:v>Content Security Policy: browser rules limiting where scripts, images, and connections may come from.</x:v>
      </x:c>
      <x:c r="C30" s="262" t="str">
        <x:v>It reduces the damage malicious or accidental third-party content can cause.</x:v>
      </x:c>
    </x:row>
  </x:sheetData>
  <x:mergeCells>
    <x:mergeCell ref="A2:C2"/>
    <x:mergeCell ref="A3:C3"/>
  </x:mergeCells>
  <x:pageMargins left="0.7" right="0.7" top="0.75" bottom="0.75" header="0.3" footer="0.3"/>
</x:worksheet>
</file>
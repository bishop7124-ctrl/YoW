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958d6e5cb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Plan" sheetId="1" r:id="R4b5211909ac147b2"/>
    <x:sheet xmlns:r="http://schemas.openxmlformats.org/officeDocument/2006/relationships" name="Calendar" sheetId="2" r:id="R423493c354be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d d mmm"/>
  </x:numFmts>
  <x:fonts count="8">
    <x:font>
      <x:sz val="11"/>
      <x:name val="Carlito"/>
    </x:font>
    <x:font>
      <x:b/>
      <x:sz val="16"/>
      <x:color rgb="FF17324D"/>
      <x:name val="Arial"/>
    </x:font>
    <x:font>
      <x:i/>
      <x:sz val="10"/>
      <x:color rgb="FF566573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10"/>
      <x:color rgb="FF5A4625"/>
      <x:name val="Arial"/>
    </x:font>
    <x:font>
      <x:sz val="10"/>
      <x:color rgb="FF243442"/>
      <x:name val="Arial"/>
    </x:font>
    <x:font>
      <x:b/>
      <x:sz val="10"/>
      <x:color rgb="FFFFFFFF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F3F6F8"/>
      </x:patternFill>
    </x:fill>
    <x:fill>
      <x:patternFill patternType="solid">
        <x:fgColor rgb="FFFFF7E6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CE8E6"/>
      </x:patternFill>
    </x:fill>
    <x:fill>
      <x:patternFill patternType="solid">
        <x:fgColor rgb="FFFDF1D5"/>
      </x:patternFill>
    </x:fill>
    <x:fill>
      <x:patternFill patternType="solid">
        <x:fgColor rgb="FFE9E1F5"/>
      </x:patternFill>
    </x:fill>
    <x:fill>
      <x:patternFill patternType="solid">
        <x:fgColor rgb="FFE3E8F4"/>
      </x:patternFill>
    </x:fill>
    <x:fill>
      <x:patternFill patternType="solid">
        <x:fgColor rgb="FFDFF1E8"/>
      </x:patternFill>
    </x:fill>
    <x:fill>
      <x:patternFill patternType="solid">
        <x:fgColor rgb="FFF4E4ED"/>
      </x:patternFill>
    </x:fill>
    <x:fill>
      <x:patternFill patternType="solid">
        <x:fgColor rgb="FFE0F0EF"/>
      </x:patternFill>
    </x:fill>
    <x:fill>
      <x:patternFill patternType="solid">
        <x:fgColor rgb="FFD4E8E6"/>
      </x:patternFill>
    </x:fill>
    <x:fill>
      <x:patternFill patternType="solid">
        <x:fgColor rgb="FFB9DED7"/>
      </x:patternFill>
    </x:fill>
    <x:fill>
      <x:patternFill patternType="solid">
        <x:fgColor rgb="FFFFFFFF"/>
      </x:patternFill>
    </x:fill>
  </x:fills>
  <x:borders count="26">
    <x:border/>
    <x:border>
      <x:left style="thin">
        <x:color rgb="FFC9D3DC"/>
      </x:left>
      <x:top style="thin">
        <x:color rgb="FFC9D3DC"/>
      </x:top>
    </x:border>
    <x:border>
      <x:right style="thin">
        <x:color rgb="FFC9D3DC"/>
      </x:right>
      <x:top style="thin">
        <x:color rgb="FFC9D3DC"/>
      </x:top>
    </x:border>
    <x:border>
      <x:left style="thin">
        <x:color rgb="FFC9D3DC"/>
      </x:left>
    </x:border>
    <x:border>
      <x:right style="thin">
        <x:color rgb="FFC9D3DC"/>
      </x:right>
    </x:border>
    <x:border>
      <x:left style="thin">
        <x:color rgb="FFC9D3DC"/>
      </x:left>
      <x:bottom style="thin">
        <x:color rgb="FFC9D3DC"/>
      </x:bottom>
    </x:border>
    <x:border>
      <x:right style="thin">
        <x:color rgb="FFC9D3DC"/>
      </x:right>
      <x:bottom style="thin">
        <x:color rgb="FFC9D3DC"/>
      </x:bottom>
    </x:border>
    <x:border>
      <x:left style="thin">
        <x:color rgb="FFE8C980"/>
      </x:left>
      <x:top style="thin">
        <x:color rgb="FFE8C980"/>
      </x:top>
    </x:border>
    <x:border>
      <x:top style="thin">
        <x:color rgb="FFE8C980"/>
      </x:top>
    </x:border>
    <x:border>
      <x:right style="thin">
        <x:color rgb="FFE8C980"/>
      </x:right>
      <x:top style="thin">
        <x:color rgb="FFE8C980"/>
      </x:top>
    </x:border>
    <x:border>
      <x:left style="thin">
        <x:color rgb="FFE8C980"/>
      </x:left>
    </x:border>
    <x:border>
      <x:right style="thin">
        <x:color rgb="FFE8C980"/>
      </x:right>
    </x:border>
    <x:border>
      <x:left style="thin">
        <x:color rgb="FFE8C980"/>
      </x:left>
      <x:bottom style="thin">
        <x:color rgb="FFE8C980"/>
      </x:bottom>
    </x:border>
    <x:border>
      <x:bottom style="thin">
        <x:color rgb="FFE8C980"/>
      </x:bottom>
    </x:border>
    <x:border>
      <x:right style="thin">
        <x:color rgb="FFE8C980"/>
      </x:right>
      <x:bottom style="thin">
        <x:color rgb="FFE8C98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DE3E8"/>
      </x:bottom>
    </x:border>
    <x:border>
      <x:left style="thin">
        <x:color rgb="FFFFFFFF"/>
      </x:left>
      <x:right style="thin">
        <x:color rgb="FFFFFFFF"/>
      </x:right>
      <x:bottom style="thin">
        <x:color rgb="FFDDE3E8"/>
      </x:bottom>
    </x:border>
    <x:border>
      <x:left style="thin">
        <x:color rgb="FFFFFFFF"/>
      </x:left>
      <x:bottom style="thin">
        <x:color rgb="FFDDE3E8"/>
      </x:bottom>
    </x:border>
    <x:border>
      <x:top style="thin">
        <x:color rgb="FFDDE3E8"/>
      </x:top>
      <x:bottom style="thin">
        <x:color rgb="FFDDE3E8"/>
      </x:bottom>
    </x:border>
    <x:border>
      <x:top style="thin">
        <x:color rgb="FFDDE3E8"/>
      </x:top>
      <x:bottom style="thin">
        <x:color rgb="FFAAB7C2"/>
      </x:bottom>
    </x:border>
    <x:border>
      <x:left style="thin">
        <x:color rgb="FFAAB7C2"/>
      </x:left>
      <x:top style="thin">
        <x:color rgb="FFAAB7C2"/>
      </x:top>
      <x:bottom style="thin">
        <x:color rgb="FFAAB7C2"/>
      </x:bottom>
    </x:border>
    <x:border>
      <x:top style="thin">
        <x:color rgb="FFAAB7C2"/>
      </x:top>
      <x:bottom style="thin">
        <x:color rgb="FFAAB7C2"/>
      </x:bottom>
    </x:border>
    <x:border>
      <x:right style="thin">
        <x:color rgb="FFAAB7C2"/>
      </x:right>
      <x:top style="thin">
        <x:color rgb="FFAAB7C2"/>
      </x:top>
      <x:bottom style="thin">
        <x:color rgb="FFAAB7C2"/>
      </x:bottom>
    </x:border>
  </x:borders>
  <x:cellStyleXfs count="1">
    <x:xf numFmtId="0" fontId="0" fillId="0" borderId="0"/>
  </x:cellStyleXfs>
  <x:cellXfs count="2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4" xfId="0" applyNumberFormat="1" applyFont="1" applyFill="1" applyBorder="1"/>
    <x:xf numFmtId="0" fontId="3" fillId="2" borderId="5" xfId="0" applyNumberFormat="1" applyFont="1" applyFill="1" applyBorder="1"/>
    <x:xf numFmtId="200" fontId="4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5" xfId="0" applyNumberFormat="1" applyFont="1" applyFill="1" applyBorder="1"/>
    <x:xf numFmtId="0" fontId="7" fillId="4" borderId="16" xfId="0" applyNumberFormat="1" applyFont="1" applyFill="1" applyBorder="1"/>
    <x:xf numFmtId="0" fontId="7" fillId="4" borderId="17" xfId="0" applyNumberFormat="1" applyFont="1" applyFill="1" applyBorder="1"/>
    <x:xf numFmtId="0" fontId="7" fillId="4" borderId="15" xfId="0" applyNumberFormat="1" applyFont="1" applyFill="1" applyBorder="1" applyAlignment="1">
      <x:alignment wrapText="1"/>
    </x:xf>
    <x:xf numFmtId="0" fontId="7" fillId="4" borderId="16" xfId="0" applyNumberFormat="1" applyFont="1" applyFill="1" applyBorder="1" applyAlignment="1">
      <x:alignment wrapText="1"/>
    </x:xf>
    <x:xf numFmtId="0" fontId="7" fillId="4" borderId="17" xfId="0" applyNumberFormat="1" applyFont="1" applyFill="1" applyBorder="1" applyAlignment="1">
      <x:alignment wrapText="1"/>
    </x:xf>
    <x:xf numFmtId="0" fontId="7" fillId="4" borderId="15" xfId="0" applyNumberFormat="1" applyFont="1" applyFill="1" applyBorder="1" applyAlignment="1">
      <x:alignment horizontal="center" wrapText="1"/>
    </x:xf>
    <x:xf numFmtId="0" fontId="7" fillId="4" borderId="16" xfId="0" applyNumberFormat="1" applyFont="1" applyFill="1" applyBorder="1" applyAlignment="1">
      <x:alignment horizontal="center" wrapText="1"/>
    </x:xf>
    <x:xf numFmtId="0" fontId="7" fillId="4" borderId="17" xfId="0" applyNumberFormat="1" applyFont="1" applyFill="1" applyBorder="1" applyAlignment="1">
      <x:alignment horizontal="center" wrapText="1"/>
    </x:xf>
    <x:xf numFmtId="0" fontId="7" fillId="4" borderId="15" xfId="0" applyNumberFormat="1" applyFont="1" applyFill="1" applyBorder="1" applyAlignment="1">
      <x:alignment horizontal="center" vertical="center" wrapText="1"/>
    </x:xf>
    <x:xf numFmtId="0" fontId="7" fillId="4" borderId="16" xfId="0" applyNumberFormat="1" applyFont="1" applyFill="1" applyBorder="1" applyAlignment="1">
      <x:alignment horizontal="center" vertical="center" wrapText="1"/>
    </x:xf>
    <x:xf numFmtId="0" fontId="7" fillId="4" borderId="17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6" fillId="9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1" borderId="0" xfId="0" applyNumberFormat="1" applyFont="1" applyFill="1" applyBorder="1" applyAlignment="1">
      <x:alignment vertical="top"/>
    </x:xf>
    <x:xf numFmtId="0" fontId="6" fillId="12" borderId="0" xfId="0" applyNumberFormat="1" applyFont="1" applyFill="1" applyBorder="1" applyAlignment="1">
      <x:alignment vertical="top"/>
    </x:xf>
    <x:xf numFmtId="0" fontId="6" fillId="13" borderId="0" xfId="0" applyNumberFormat="1" applyFont="1" applyFill="1" applyBorder="1" applyAlignment="1">
      <x:alignment vertical="top"/>
    </x:xf>
    <x:xf numFmtId="0" fontId="6" fillId="14" borderId="0" xfId="0" applyNumberFormat="1" applyFont="1" applyFill="1" applyBorder="1" applyAlignment="1">
      <x:alignment vertical="top"/>
    </x:xf>
    <x:xf numFmtId="0" fontId="7" fillId="4" borderId="18" xfId="0" applyNumberFormat="1" applyFont="1" applyFill="1" applyBorder="1" applyAlignment="1">
      <x:alignment horizontal="center" vertical="center" wrapText="1"/>
    </x:xf>
    <x:xf numFmtId="0" fontId="7" fillId="4" borderId="19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201" fontId="6" fillId="0" borderId="21" xfId="0" applyNumberFormat="1" applyFont="1" applyFill="1" applyBorder="1" applyAlignment="1">
      <x:alignment vertical="top"/>
    </x:xf>
    <x:xf numFmtId="0" fontId="6" fillId="0" borderId="21" xfId="0" applyNumberFormat="1" applyFont="1" applyFill="1" applyBorder="1" applyAlignment="1">
      <x:alignment vertical="top"/>
    </x:xf>
    <x:xf numFmtId="0" fontId="6" fillId="5" borderId="21" xfId="0" applyNumberFormat="1" applyFont="1" applyFill="1" applyBorder="1" applyAlignment="1">
      <x:alignment vertical="top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horizontal="center" vertical="top"/>
    </x:xf>
    <x:xf numFmtId="0" fontId="6" fillId="6" borderId="21" xfId="0" applyNumberFormat="1" applyFont="1" applyFill="1" applyBorder="1" applyAlignment="1">
      <x:alignment vertical="top"/>
    </x:xf>
    <x:xf numFmtId="0" fontId="6" fillId="7" borderId="21" xfId="0" applyNumberFormat="1" applyFont="1" applyFill="1" applyBorder="1" applyAlignment="1">
      <x:alignment vertical="top"/>
    </x:xf>
    <x:xf numFmtId="0" fontId="6" fillId="8" borderId="21" xfId="0" applyNumberFormat="1" applyFont="1" applyFill="1" applyBorder="1" applyAlignment="1">
      <x:alignment vertical="top"/>
    </x:xf>
    <x:xf numFmtId="0" fontId="6" fillId="9" borderId="21" xfId="0" applyNumberFormat="1" applyFont="1" applyFill="1" applyBorder="1" applyAlignment="1">
      <x:alignment vertical="top"/>
    </x:xf>
    <x:xf numFmtId="0" fontId="6" fillId="10" borderId="21" xfId="0" applyNumberFormat="1" applyFont="1" applyFill="1" applyBorder="1" applyAlignment="1">
      <x:alignment vertical="top"/>
    </x:xf>
    <x:xf numFmtId="0" fontId="6" fillId="11" borderId="21" xfId="0" applyNumberFormat="1" applyFont="1" applyFill="1" applyBorder="1" applyAlignment="1">
      <x:alignment vertical="top"/>
    </x:xf>
    <x:xf numFmtId="0" fontId="6" fillId="12" borderId="21" xfId="0" applyNumberFormat="1" applyFont="1" applyFill="1" applyBorder="1" applyAlignment="1">
      <x:alignment vertical="top"/>
    </x:xf>
    <x:xf numFmtId="0" fontId="6" fillId="13" borderId="21" xfId="0" applyNumberFormat="1" applyFont="1" applyFill="1" applyBorder="1" applyAlignment="1">
      <x:alignment vertical="top"/>
    </x:xf>
    <x:xf numFmtId="201" fontId="6" fillId="0" borderId="22" xfId="0" applyNumberFormat="1" applyFont="1" applyFill="1" applyBorder="1" applyAlignment="1">
      <x:alignment vertical="top"/>
    </x:xf>
    <x:xf numFmtId="0" fontId="6" fillId="0" borderId="22" xfId="0" applyNumberFormat="1" applyFont="1" applyFill="1" applyBorder="1" applyAlignment="1">
      <x:alignment vertical="top"/>
    </x:xf>
    <x:xf numFmtId="0" fontId="6" fillId="14" borderId="22" xfId="0" applyNumberFormat="1" applyFont="1" applyFill="1" applyBorder="1" applyAlignment="1">
      <x:alignment vertical="top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3" xfId="0" applyNumberFormat="1" applyFont="1" applyFill="1" applyBorder="1" applyAlignment="1">
      <x:alignment vertical="center"/>
    </x:xf>
    <x:xf numFmtId="0" fontId="4" fillId="5" borderId="24" xfId="0" applyNumberFormat="1" applyFont="1" applyFill="1" applyBorder="1" applyAlignment="1">
      <x:alignment vertical="center"/>
    </x:xf>
    <x:xf numFmtId="0" fontId="4" fillId="5" borderId="2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23" xfId="0" applyNumberFormat="1" applyFont="1" applyFill="1" applyBorder="1"/>
    <x:xf numFmtId="0" fontId="7" fillId="4" borderId="25" xfId="0" applyNumberFormat="1" applyFont="1" applyFill="1" applyBorder="1"/>
    <x:xf numFmtId="0" fontId="7" fillId="4" borderId="23" xfId="0" applyNumberFormat="1" applyFont="1" applyFill="1" applyBorder="1" applyAlignment="1">
      <x:alignment horizontal="center"/>
    </x:xf>
    <x:xf numFmtId="0" fontId="7" fillId="4" borderId="25" xfId="0" applyNumberFormat="1" applyFont="1" applyFill="1" applyBorder="1" applyAlignment="1">
      <x:alignment horizontal="center"/>
    </x:xf>
    <x:xf numFmtId="0" fontId="7" fillId="4" borderId="23" xfId="0" applyNumberFormat="1" applyFont="1" applyFill="1" applyBorder="1" applyAlignment="1">
      <x:alignment horizontal="center" vertical="center"/>
    </x:xf>
    <x:xf numFmtId="0" fontId="7" fillId="4" borderId="25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1" xfId="0" applyNumberFormat="1" applyFont="1" applyFill="1" applyBorder="1"/>
    <x:xf numFmtId="0" fontId="6" fillId="15" borderId="2" xfId="0" applyNumberFormat="1" applyFont="1" applyFill="1" applyBorder="1"/>
    <x:xf numFmtId="0" fontId="6" fillId="15" borderId="3" xfId="0" applyNumberFormat="1" applyFont="1" applyFill="1" applyBorder="1"/>
    <x:xf numFmtId="0" fontId="6" fillId="15" borderId="4" xfId="0" applyNumberFormat="1" applyFont="1" applyFill="1" applyBorder="1"/>
    <x:xf numFmtId="0" fontId="6" fillId="15" borderId="5" xfId="0" applyNumberFormat="1" applyFont="1" applyFill="1" applyBorder="1"/>
    <x:xf numFmtId="0" fontId="6" fillId="15" borderId="6" xfId="0" applyNumberFormat="1" applyFont="1" applyFill="1" applyBorder="1"/>
    <x:xf numFmtId="0" fontId="6" fillId="15" borderId="1" xfId="0" applyNumberFormat="1" applyFont="1" applyFill="1" applyBorder="1" applyAlignment="1">
      <x:alignment wrapText="1"/>
    </x:xf>
    <x:xf numFmtId="0" fontId="6" fillId="15" borderId="2" xfId="0" applyNumberFormat="1" applyFont="1" applyFill="1" applyBorder="1" applyAlignment="1">
      <x:alignment wrapText="1"/>
    </x:xf>
    <x:xf numFmtId="0" fontId="6" fillId="15" borderId="3" xfId="0" applyNumberFormat="1" applyFont="1" applyFill="1" applyBorder="1" applyAlignment="1">
      <x:alignment wrapText="1"/>
    </x:xf>
    <x:xf numFmtId="0" fontId="6" fillId="15" borderId="4" xfId="0" applyNumberFormat="1" applyFont="1" applyFill="1" applyBorder="1" applyAlignment="1">
      <x:alignment wrapText="1"/>
    </x:xf>
    <x:xf numFmtId="0" fontId="6" fillId="15" borderId="5" xfId="0" applyNumberFormat="1" applyFont="1" applyFill="1" applyBorder="1" applyAlignment="1">
      <x:alignment wrapText="1"/>
    </x:xf>
    <x:xf numFmtId="0" fontId="6" fillId="15" borderId="6" xfId="0" applyNumberFormat="1" applyFont="1" applyFill="1" applyBorder="1" applyAlignment="1">
      <x:alignment wrapText="1"/>
    </x:xf>
    <x:xf numFmtId="0" fontId="6" fillId="15" borderId="1" xfId="0" applyNumberFormat="1" applyFont="1" applyFill="1" applyBorder="1" applyAlignment="1">
      <x:alignment vertical="top" wrapText="1"/>
    </x:xf>
    <x:xf numFmtId="0" fontId="6" fillId="15" borderId="2" xfId="0" applyNumberFormat="1" applyFont="1" applyFill="1" applyBorder="1" applyAlignment="1">
      <x:alignment vertical="top" wrapText="1"/>
    </x:xf>
    <x:xf numFmtId="0" fontId="6" fillId="15" borderId="3" xfId="0" applyNumberFormat="1" applyFont="1" applyFill="1" applyBorder="1" applyAlignment="1">
      <x:alignment vertical="top" wrapText="1"/>
    </x:xf>
    <x:xf numFmtId="0" fontId="6" fillId="15" borderId="4" xfId="0" applyNumberFormat="1" applyFont="1" applyFill="1" applyBorder="1" applyAlignment="1">
      <x:alignment vertical="top" wrapText="1"/>
    </x:xf>
    <x:xf numFmtId="0" fontId="6" fillId="15" borderId="5" xfId="0" applyNumberFormat="1" applyFont="1" applyFill="1" applyBorder="1" applyAlignment="1">
      <x:alignment vertical="top" wrapText="1"/>
    </x:xf>
    <x:xf numFmtId="0" fontId="6" fillId="1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4" fillId="6" borderId="23" xfId="0" applyNumberFormat="1" applyFont="1" applyFill="1" applyBorder="1" applyAlignment="1">
      <x:alignment vertical="center"/>
    </x:xf>
    <x:xf numFmtId="0" fontId="4" fillId="6" borderId="24" xfId="0" applyNumberFormat="1" applyFont="1" applyFill="1" applyBorder="1" applyAlignment="1">
      <x:alignment vertical="center"/>
    </x:xf>
    <x:xf numFmtId="0" fontId="4" fillId="6" borderId="25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3" xfId="0" applyNumberFormat="1" applyFont="1" applyFill="1" applyBorder="1" applyAlignment="1">
      <x:alignment vertical="center"/>
    </x:xf>
    <x:xf numFmtId="0" fontId="4" fillId="7" borderId="24" xfId="0" applyNumberFormat="1" applyFont="1" applyFill="1" applyBorder="1" applyAlignment="1">
      <x:alignment vertical="center"/>
    </x:xf>
    <x:xf numFmtId="0" fontId="4" fillId="7" borderId="25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3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3" xfId="0" applyNumberFormat="1" applyFont="1" applyFill="1" applyBorder="1" applyAlignment="1">
      <x:alignment vertical="center"/>
    </x:xf>
    <x:xf numFmtId="0" fontId="4" fillId="8" borderId="24" xfId="0" applyNumberFormat="1" applyFont="1" applyFill="1" applyBorder="1" applyAlignment="1">
      <x:alignment vertical="center"/>
    </x:xf>
    <x:xf numFmtId="0" fontId="4" fillId="8" borderId="25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3" xfId="0" applyNumberFormat="1" applyFont="1" applyFill="1" applyBorder="1"/>
    <x:xf numFmtId="0" fontId="4" fillId="9" borderId="24" xfId="0" applyNumberFormat="1" applyFont="1" applyFill="1" applyBorder="1"/>
    <x:xf numFmtId="0" fontId="4" fillId="9" borderId="25" xfId="0" applyNumberFormat="1" applyFont="1" applyFill="1" applyBorder="1"/>
    <x:xf numFmtId="0" fontId="4" fillId="9" borderId="23" xfId="0" applyNumberFormat="1" applyFont="1" applyFill="1" applyBorder="1" applyAlignment="1">
      <x:alignment vertical="center"/>
    </x:xf>
    <x:xf numFmtId="0" fontId="4" fillId="9" borderId="24" xfId="0" applyNumberFormat="1" applyFont="1" applyFill="1" applyBorder="1" applyAlignment="1">
      <x:alignment vertical="center"/>
    </x:xf>
    <x:xf numFmtId="0" fontId="4" fillId="9" borderId="25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3" xfId="0" applyNumberFormat="1" applyFont="1" applyFill="1" applyBorder="1"/>
    <x:xf numFmtId="0" fontId="4" fillId="10" borderId="24" xfId="0" applyNumberFormat="1" applyFont="1" applyFill="1" applyBorder="1"/>
    <x:xf numFmtId="0" fontId="4" fillId="10" borderId="25" xfId="0" applyNumberFormat="1" applyFont="1" applyFill="1" applyBorder="1"/>
    <x:xf numFmtId="0" fontId="4" fillId="10" borderId="23" xfId="0" applyNumberFormat="1" applyFont="1" applyFill="1" applyBorder="1" applyAlignment="1">
      <x:alignment vertical="center"/>
    </x:xf>
    <x:xf numFmtId="0" fontId="4" fillId="10" borderId="24" xfId="0" applyNumberFormat="1" applyFont="1" applyFill="1" applyBorder="1" applyAlignment="1">
      <x:alignment vertical="center"/>
    </x:xf>
    <x:xf numFmtId="0" fontId="4" fillId="10" borderId="25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3" xfId="0" applyNumberFormat="1" applyFont="1" applyFill="1" applyBorder="1"/>
    <x:xf numFmtId="0" fontId="4" fillId="11" borderId="24" xfId="0" applyNumberFormat="1" applyFont="1" applyFill="1" applyBorder="1"/>
    <x:xf numFmtId="0" fontId="4" fillId="11" borderId="25" xfId="0" applyNumberFormat="1" applyFont="1" applyFill="1" applyBorder="1"/>
    <x:xf numFmtId="0" fontId="4" fillId="11" borderId="23" xfId="0" applyNumberFormat="1" applyFont="1" applyFill="1" applyBorder="1" applyAlignment="1">
      <x:alignment vertical="center"/>
    </x:xf>
    <x:xf numFmtId="0" fontId="4" fillId="11" borderId="24" xfId="0" applyNumberFormat="1" applyFont="1" applyFill="1" applyBorder="1" applyAlignment="1">
      <x:alignment vertical="center"/>
    </x:xf>
    <x:xf numFmtId="0" fontId="4" fillId="11" borderId="25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23" xfId="0" applyNumberFormat="1" applyFont="1" applyFill="1" applyBorder="1"/>
    <x:xf numFmtId="0" fontId="4" fillId="12" borderId="24" xfId="0" applyNumberFormat="1" applyFont="1" applyFill="1" applyBorder="1"/>
    <x:xf numFmtId="0" fontId="4" fillId="12" borderId="25" xfId="0" applyNumberFormat="1" applyFont="1" applyFill="1" applyBorder="1"/>
    <x:xf numFmtId="0" fontId="4" fillId="12" borderId="23" xfId="0" applyNumberFormat="1" applyFont="1" applyFill="1" applyBorder="1" applyAlignment="1">
      <x:alignment vertical="center"/>
    </x:xf>
    <x:xf numFmtId="0" fontId="4" fillId="12" borderId="24" xfId="0" applyNumberFormat="1" applyFont="1" applyFill="1" applyBorder="1" applyAlignment="1">
      <x:alignment vertical="center"/>
    </x:xf>
    <x:xf numFmtId="0" fontId="4" fillId="12" borderId="25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23" xfId="0" applyNumberFormat="1" applyFont="1" applyFill="1" applyBorder="1"/>
    <x:xf numFmtId="0" fontId="4" fillId="13" borderId="24" xfId="0" applyNumberFormat="1" applyFont="1" applyFill="1" applyBorder="1"/>
    <x:xf numFmtId="0" fontId="4" fillId="13" borderId="25" xfId="0" applyNumberFormat="1" applyFont="1" applyFill="1" applyBorder="1"/>
    <x:xf numFmtId="0" fontId="4" fillId="13" borderId="23" xfId="0" applyNumberFormat="1" applyFont="1" applyFill="1" applyBorder="1" applyAlignment="1">
      <x:alignment vertical="center"/>
    </x:xf>
    <x:xf numFmtId="0" fontId="4" fillId="13" borderId="24" xfId="0" applyNumberFormat="1" applyFont="1" applyFill="1" applyBorder="1" applyAlignment="1">
      <x:alignment vertical="center"/>
    </x:xf>
    <x:xf numFmtId="0" fontId="4" fillId="13" borderId="25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23" xfId="0" applyNumberFormat="1" applyFont="1" applyFill="1" applyBorder="1"/>
    <x:xf numFmtId="0" fontId="4" fillId="14" borderId="24" xfId="0" applyNumberFormat="1" applyFont="1" applyFill="1" applyBorder="1"/>
    <x:xf numFmtId="0" fontId="4" fillId="14" borderId="25" xfId="0" applyNumberFormat="1" applyFont="1" applyFill="1" applyBorder="1"/>
    <x:xf numFmtId="0" fontId="4" fillId="14" borderId="23" xfId="0" applyNumberFormat="1" applyFont="1" applyFill="1" applyBorder="1" applyAlignment="1">
      <x:alignment vertical="center"/>
    </x:xf>
    <x:xf numFmtId="0" fontId="4" fillId="14" borderId="24" xfId="0" applyNumberFormat="1" applyFont="1" applyFill="1" applyBorder="1" applyAlignment="1">
      <x:alignment vertical="center"/>
    </x:xf>
    <x:xf numFmtId="0" fontId="4" fillId="14" borderId="25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4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16E39"/>
      </x:font>
      <x:fill>
        <x:patternFill patternType="solid">
          <x:bgColor rgb="FFDDF2E3"/>
        </x:patternFill>
      </x:fill>
    </x:dxf>
    <x:dxf>
      <x:font>
        <x:b/>
        <x:color rgb="FF805B00"/>
      </x:font>
      <x:fill>
        <x:patternFill patternType="solid">
          <x:bgColor rgb="FFFFF1C7"/>
        </x:patternFill>
      </x:fill>
    </x:dxf>
    <x:dxf>
      <x:font>
        <x:b/>
        <x:color rgb="FFA61B1B"/>
      </x:font>
      <x:fill>
        <x:patternFill patternType="solid">
          <x:bgColor rgb="FFFADBD8"/>
        </x:patternFill>
      </x:fill>
    </x:dxf>
    <x:dxf>
      <x:font>
        <x:color rgb="FF566573"/>
      </x:font>
      <x:fill>
        <x:patternFill patternType="solid">
          <x:bgColor rgb="FFEEF2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9933fd46d4e0a" /><Relationship Type="http://schemas.openxmlformats.org/officeDocument/2006/relationships/theme" Target="/xl/theme/theme1.xml" Id="Ra11979f878d14c7a" /><Relationship Type="http://schemas.openxmlformats.org/officeDocument/2006/relationships/sharedStrings" Target="/xl/sharedStrings.xml" Id="R00799ff73cdc4c89" /><Relationship Type="http://schemas.openxmlformats.org/officeDocument/2006/relationships/worksheet" Target="/xl/worksheets/sheet1.xml" Id="R4b5211909ac147b2" /><Relationship Type="http://schemas.openxmlformats.org/officeDocument/2006/relationships/worksheet" Target="/xl/worksheets/sheet2.xml" Id="R423493c354be46b7" /></Relationships>
</file>

<file path=xl/tables/table1.xml><?xml version="1.0" encoding="utf-8"?>
<x:table xmlns:x="http://schemas.openxmlformats.org/spreadsheetml/2006/main" id="1" name="LaunchTasksTable" displayName="LaunchTasksTable" ref="A10:H56" headerRowCount="1" totalsRowCount="0" totalsRowShown="0">
  <x:autoFilter ref="A10:H56"/>
  <x:tableColumns count="8">
    <x:tableColumn id="1" name="Date"/>
    <x:tableColumn id="2" name="Week"/>
    <x:tableColumn id="3" name="Phase"/>
    <x:tableColumn id="4" name="Your task"/>
    <x:tableColumn id="5" name="Engineering / QA outcome"/>
    <x:tableColumn id="6" name="Hard gate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998875434641d9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46" hidden="0" customWidth="1"/>
    <x:col min="5" max="5" width="52" hidden="0" customWidth="1"/>
    <x:col min="6" max="6" width="12" hidden="0" customWidth="1"/>
    <x:col min="7" max="7" width="15" hidden="0" customWidth="1"/>
    <x:col min="8" max="8" width="34" hidden="0" customWidth="1"/>
  </x:cols>
  <x:sheetData>
    <x:row r="2">
      <x:c r="A2" s="1" t="str">
        <x:v>YOW paid-launch plan</x:v>
      </x:c>
    </x:row>
    <x:row r="3">
      <x:c r="A3" s="2" t="str">
        <x:v>One owner task per weekday · provisional launch 30 November 2026 · weekends protected</x:v>
      </x:c>
    </x:row>
    <x:row r="5">
      <x:c r="A5" s="10" t="str">
        <x:v>Tasks</x:v>
      </x:c>
      <x:c r="B5" s="11" t="n">
        <x:f>COUNTA(A11:A56)</x:f>
        <x:v>46</x:v>
      </x:c>
      <x:c r="D5" s="5" t="str">
        <x:v>How to use</x:v>
      </x:c>
    </x:row>
    <x:row r="6">
      <x:c r="A6" s="12" t="str">
        <x:v>Done</x:v>
      </x:c>
      <x:c r="B6" s="13" t="n">
        <x:f>COUNTIF(G11:G56,"Done")</x:f>
        <x:v>0</x:v>
      </x:c>
      <x:c r="D6" s="35" t="str">
        <x:v>Update only Status and Notes. Start with the task for today. If a hard gate fails, move launch by one week rather than compressing the two-week marketing runway. Closing public Beta enrollment never revokes existing testers or deletes their data.</x:v>
      </x:c>
      <x:c r="E6" s="36"/>
      <x:c r="F6" s="36"/>
      <x:c r="G6" s="36"/>
      <x:c r="H6" s="37"/>
    </x:row>
    <x:row r="7">
      <x:c r="A7" s="12" t="str">
        <x:v>Remaining</x:v>
      </x:c>
      <x:c r="B7" s="13" t="n">
        <x:f>B5-B6</x:f>
        <x:v>46</x:v>
      </x:c>
      <x:c r="D7" s="38"/>
      <x:c r="E7" s="39"/>
      <x:c r="F7" s="39"/>
      <x:c r="G7" s="39"/>
      <x:c r="H7" s="40"/>
    </x:row>
    <x:row r="8">
      <x:c r="A8" s="12" t="str">
        <x:v>Blocked</x:v>
      </x:c>
      <x:c r="B8" s="13" t="n">
        <x:f>COUNTIF(G11:G56,"Blocked")</x:f>
        <x:v>0</x:v>
      </x:c>
      <x:c r="D8" s="38"/>
      <x:c r="E8" s="39"/>
      <x:c r="F8" s="39"/>
      <x:c r="G8" s="39"/>
      <x:c r="H8" s="40"/>
    </x:row>
    <x:row r="9">
      <x:c r="A9" s="14" t="str">
        <x:v>Progress</x:v>
      </x:c>
      <x:c r="B9" s="15" t="n">
        <x:f>IFERROR(B6/B5,0)</x:f>
        <x:v>0</x:v>
      </x:c>
      <x:c r="D9" s="41"/>
      <x:c r="E9" s="42"/>
      <x:c r="F9" s="42"/>
      <x:c r="G9" s="42"/>
      <x:c r="H9" s="43"/>
    </x:row>
    <x:row r="10" ht="30" customHeight="1">
      <x:c r="A10" s="75" t="str">
        <x:v>Date</x:v>
      </x:c>
      <x:c r="B10" s="76" t="str">
        <x:v>Week</x:v>
      </x:c>
      <x:c r="C10" s="76" t="str">
        <x:v>Phase</x:v>
      </x:c>
      <x:c r="D10" s="76" t="str">
        <x:v>Your task</x:v>
      </x:c>
      <x:c r="E10" s="76" t="str">
        <x:v>Engineering / QA outcome</x:v>
      </x:c>
      <x:c r="F10" s="76" t="str">
        <x:v>Hard gate</x:v>
      </x:c>
      <x:c r="G10" s="76" t="str">
        <x:v>Status</x:v>
      </x:c>
      <x:c r="H10" s="77" t="str">
        <x:v>Notes</x:v>
      </x:c>
    </x:row>
    <x:row r="11" ht="54" customHeight="1">
      <x:c r="A11" s="78" t="n">
        <x:v>46293.5</x:v>
      </x:c>
      <x:c r="B11" s="79" t="str">
        <x:v>Week 1</x:v>
      </x:c>
      <x:c r="C11" s="80" t="str">
        <x:v>Release baseline</x:v>
      </x:c>
      <x:c r="D11" s="81" t="str">
        <x:v>Approve the calendar and reserve weekday review blocks through 30 November.</x:v>
      </x:c>
      <x:c r="E11" s="81" t="str">
        <x:v>Freeze launch scope and classify every remaining item as launch-blocking, verification-only, or post-launch.</x:v>
      </x:c>
      <x:c r="F11" s="82" t="str">
        <x:v>Yes</x:v>
      </x:c>
      <x:c r="G11" s="82" t="str">
        <x:v>Not started</x:v>
      </x:c>
      <x:c r="H11" s="81" t="str"/>
    </x:row>
    <x:row r="12" ht="54" customHeight="1">
      <x:c r="A12" s="78" t="n">
        <x:v>46294.5</x:v>
      </x:c>
      <x:c r="B12" s="79" t="str">
        <x:v>Week 1</x:v>
      </x:c>
      <x:c r="C12" s="80" t="str">
        <x:v>Release baseline</x:v>
      </x:c>
      <x:c r="D12" s="81" t="str">
        <x:v>Review the short release-baseline report and decide only if a true scope conflict is surfaced.</x:v>
      </x:c>
      <x:c r="E12" s="81" t="str">
        <x:v>Make npm run qa green, reconcile the Vercel route test, and review current uncommitted work.</x:v>
      </x:c>
      <x:c r="F12" s="82" t="str">
        <x:v>Yes</x:v>
      </x:c>
      <x:c r="G12" s="82" t="str">
        <x:v>Not started</x:v>
      </x:c>
      <x:c r="H12" s="81" t="str"/>
    </x:row>
    <x:row r="13" ht="54" customHeight="1">
      <x:c r="A13" s="78" t="n">
        <x:v>46295.5</x:v>
      </x:c>
      <x:c r="B13" s="79" t="str">
        <x:v>Week 1</x:v>
      </x:c>
      <x:c r="C13" s="80" t="str">
        <x:v>Release baseline</x:v>
      </x:c>
      <x:c r="D13" s="81" t="str">
        <x:v>Run a 30-minute sign-in, project, writing, and export smoke test.</x:v>
      </x:c>
      <x:c r="E13" s="81" t="str">
        <x:v>Commit a clean baseline and record test, build, bundle, and warning results.</x:v>
      </x:c>
      <x:c r="F13" s="82" t="str">
        <x:v>Yes</x:v>
      </x:c>
      <x:c r="G13" s="82" t="str">
        <x:v>Not started</x:v>
      </x:c>
      <x:c r="H13" s="81" t="str"/>
    </x:row>
    <x:row r="14" ht="54" customHeight="1">
      <x:c r="A14" s="78" t="n">
        <x:v>46296.5</x:v>
      </x:c>
      <x:c r="B14" s="79" t="str">
        <x:v>Week 1</x:v>
      </x:c>
      <x:c r="C14" s="80" t="str">
        <x:v>Release baseline</x:v>
      </x:c>
      <x:c r="D14" s="81" t="str">
        <x:v>Confirm the six launch project types and excluded promises still match the product you intend to sell.</x:v>
      </x:c>
      <x:c r="E14" s="81" t="str">
        <x:v>Reconcile stale roadmap and marketing contradictions, especially desktop and coming-soon language.</x:v>
      </x:c>
      <x:c r="F14" s="82" t="str">
        <x:v>Yes</x:v>
      </x:c>
      <x:c r="G14" s="82" t="str">
        <x:v>Not started</x:v>
      </x:c>
      <x:c r="H14" s="81" t="str"/>
    </x:row>
    <x:row r="15" ht="54" customHeight="1">
      <x:c r="A15" s="78" t="n">
        <x:v>46297.5</x:v>
      </x:c>
      <x:c r="B15" s="79" t="str">
        <x:v>Week 1</x:v>
      </x:c>
      <x:c r="C15" s="80" t="str">
        <x:v>Release baseline</x:v>
      </x:c>
      <x:c r="D15" s="81" t="str">
        <x:v>Review the Week 1 status and approve the ordered blocker queue.</x:v>
      </x:c>
      <x:c r="E15" s="81" t="str">
        <x:v>Cut the first launch candidate only if the baseline is green.</x:v>
      </x:c>
      <x:c r="F15" s="82" t="str">
        <x:v>Yes</x:v>
      </x:c>
      <x:c r="G15" s="82" t="str">
        <x:v>Not started</x:v>
      </x:c>
      <x:c r="H15" s="81" t="str"/>
    </x:row>
    <x:row r="16" ht="54" customHeight="1">
      <x:c r="A16" s="78" t="n">
        <x:v>46300.5</x:v>
      </x:c>
      <x:c r="B16" s="79" t="str">
        <x:v>Week 2</x:v>
      </x:c>
      <x:c r="C16" s="83" t="str">
        <x:v>Data safety</x:v>
      </x:c>
      <x:c r="D16" s="81" t="str">
        <x:v>Provide the production Supabase session or access needed for the guided migration check.</x:v>
      </x:c>
      <x:c r="E16" s="81" t="str">
        <x:v>Deploy and verify scene concurrency and Security Definer hardening migrations; rerun database advisors.</x:v>
      </x:c>
      <x:c r="F16" s="82" t="str">
        <x:v>Yes</x:v>
      </x:c>
      <x:c r="G16" s="82" t="str">
        <x:v>Not started</x:v>
      </x:c>
      <x:c r="H16" s="81" t="str"/>
    </x:row>
    <x:row r="17" ht="54" customHeight="1">
      <x:c r="A17" s="78" t="n">
        <x:v>46301.5</x:v>
      </x:c>
      <x:c r="B17" s="79" t="str">
        <x:v>Week 2</x:v>
      </x:c>
      <x:c r="C17" s="83" t="str">
        <x:v>Data safety</x:v>
      </x:c>
      <x:c r="D17" s="81" t="str">
        <x:v>Perform the guided two-tab same-scene edit test with the designated test account.</x:v>
      </x:c>
      <x:c r="E17" s="81" t="str">
        <x:v>Verify leases, stale-revision rejection, conflict-copy review, recovery, and no silent overwrite.</x:v>
      </x:c>
      <x:c r="F17" s="82" t="str">
        <x:v>Yes</x:v>
      </x:c>
      <x:c r="G17" s="82" t="str">
        <x:v>Not started</x:v>
      </x:c>
      <x:c r="H17" s="81" t="str"/>
    </x:row>
    <x:row r="18" ht="54" customHeight="1">
      <x:c r="A18" s="78" t="n">
        <x:v>46302.5</x:v>
      </x:c>
      <x:c r="B18" s="79" t="str">
        <x:v>Week 2</x:v>
      </x:c>
      <x:c r="C18" s="83" t="str">
        <x:v>Data safety</x:v>
      </x:c>
      <x:c r="D18" s="81" t="str">
        <x:v>Perform the guided two-account isolation and account-switch test.</x:v>
      </x:c>
      <x:c r="E18" s="81" t="str">
        <x:v>Verify auth isolation, local ownership, AI-key isolation, entitlement tampering rejection, and recovery.</x:v>
      </x:c>
      <x:c r="F18" s="82" t="str">
        <x:v>Yes</x:v>
      </x:c>
      <x:c r="G18" s="82" t="str">
        <x:v>Not started</x:v>
      </x:c>
      <x:c r="H18" s="81" t="str"/>
    </x:row>
    <x:row r="19" ht="54" customHeight="1">
      <x:c r="A19" s="78" t="n">
        <x:v>46303.5</x:v>
      </x:c>
      <x:c r="B19" s="79" t="str">
        <x:v>Week 2</x:v>
      </x:c>
      <x:c r="C19" s="83" t="str">
        <x:v>Data safety</x:v>
      </x:c>
      <x:c r="D19" s="81" t="str">
        <x:v>Approve or defer the optional git-history rewrite after reviewing the auth-log result.</x:v>
      </x:c>
      <x:c r="E19" s="81" t="str">
        <x:v>Migrate the two missing production function definitions and review historical auth logs.</x:v>
      </x:c>
      <x:c r="F19" s="82" t="str">
        <x:v>No</x:v>
      </x:c>
      <x:c r="G19" s="82" t="str">
        <x:v>Not started</x:v>
      </x:c>
      <x:c r="H19" s="81" t="str"/>
    </x:row>
    <x:row r="20" ht="54" customHeight="1">
      <x:c r="A20" s="78" t="n">
        <x:v>46304.5</x:v>
      </x:c>
      <x:c r="B20" s="79" t="str">
        <x:v>Week 2</x:v>
      </x:c>
      <x:c r="C20" s="83" t="str">
        <x:v>Data safety</x:v>
      </x:c>
      <x:c r="D20" s="81" t="str">
        <x:v>Sign off the plain-English data-safety evidence packet.</x:v>
      </x:c>
      <x:c r="E20" s="81" t="str">
        <x:v>Close the week only if migrations, two-tab, two-account, destructive actions, and rollback evidence are clean.</x:v>
      </x:c>
      <x:c r="F20" s="82" t="str">
        <x:v>Yes</x:v>
      </x:c>
      <x:c r="G20" s="82" t="str">
        <x:v>Not started</x:v>
      </x:c>
      <x:c r="H20" s="81" t="str"/>
    </x:row>
    <x:row r="21" ht="54" customHeight="1">
      <x:c r="A21" s="78" t="n">
        <x:v>46307.5</x:v>
      </x:c>
      <x:c r="B21" s="79" t="str">
        <x:v>Week 3</x:v>
      </x:c>
      <x:c r="C21" s="84" t="str">
        <x:v>Cloud and exports</x:v>
      </x:c>
      <x:c r="D21" s="81" t="str">
        <x:v>Test a real media upload, replacement, and deletion while watching the Storage figure.</x:v>
      </x:c>
      <x:c r="E21" s="81" t="str">
        <x:v>Verify private-media RLS, cleanup, quota accounting, and signed rendering and export.</x:v>
      </x:c>
      <x:c r="F21" s="82" t="str">
        <x:v>Yes</x:v>
      </x:c>
      <x:c r="G21" s="82" t="str">
        <x:v>Not started</x:v>
      </x:c>
      <x:c r="H21" s="81" t="str"/>
    </x:row>
    <x:row r="22" ht="54" customHeight="1">
      <x:c r="A22" s="78" t="n">
        <x:v>46308.5</x:v>
      </x:c>
      <x:c r="B22" s="79" t="str">
        <x:v>Week 3</x:v>
      </x:c>
      <x:c r="C22" s="84" t="str">
        <x:v>Cloud and exports</x:v>
      </x:c>
      <x:c r="D22" s="81" t="str">
        <x:v>Run one guided full-account export and open representative ZIP, DOCX, PDF, and World Bible outputs.</x:v>
      </x:c>
      <x:c r="E22" s="81" t="str">
        <x:v>Verify completeness, readable documents, PDF privacy, and restorable ZIP ownership.</x:v>
      </x:c>
      <x:c r="F22" s="82" t="str">
        <x:v>Yes</x:v>
      </x:c>
      <x:c r="G22" s="82" t="str">
        <x:v>Not started</x:v>
      </x:c>
      <x:c r="H22" s="81" t="str"/>
    </x:row>
    <x:row r="23" ht="54" customHeight="1">
      <x:c r="A23" s="78" t="n">
        <x:v>46309.5</x:v>
      </x:c>
      <x:c r="B23" s="79" t="str">
        <x:v>Week 3</x:v>
      </x:c>
      <x:c r="C23" s="84" t="str">
        <x:v>Cloud and exports</x:v>
      </x:c>
      <x:c r="D23" s="81" t="str">
        <x:v>Run guided import-as-new, import-into-existing, and second-account collision checks.</x:v>
      </x:c>
      <x:c r="E23" s="81" t="str">
        <x:v>Verify ID remapping, rollback, double-import behavior, and no cross-account or partial-write failure.</x:v>
      </x:c>
      <x:c r="F23" s="82" t="str">
        <x:v>Yes</x:v>
      </x:c>
      <x:c r="G23" s="82" t="str">
        <x:v>Not started</x:v>
      </x:c>
      <x:c r="H23" s="81" t="str"/>
    </x:row>
    <x:row r="24" ht="54" customHeight="1">
      <x:c r="A24" s="78" t="n">
        <x:v>46310.5</x:v>
      </x:c>
      <x:c r="B24" s="79" t="str">
        <x:v>Week 3</x:v>
      </x:c>
      <x:c r="C24" s="84" t="str">
        <x:v>Cloud and exports</x:v>
      </x:c>
      <x:c r="D24" s="81" t="str">
        <x:v>Review the customer warning sequence for cloud expiry and inactive Free accounts.</x:v>
      </x:c>
      <x:c r="E24" s="81" t="str">
        <x:v>Complete and test notices, Export All, grace, archive or delete policy, and cloud-write shutdown.</x:v>
      </x:c>
      <x:c r="F24" s="82" t="str">
        <x:v>Yes</x:v>
      </x:c>
      <x:c r="G24" s="82" t="str">
        <x:v>Not started</x:v>
      </x:c>
      <x:c r="H24" s="81" t="str"/>
    </x:row>
    <x:row r="25" ht="54" customHeight="1">
      <x:c r="A25" s="78" t="n">
        <x:v>46311.5</x:v>
      </x:c>
      <x:c r="B25" s="79" t="str">
        <x:v>Week 3</x:v>
      </x:c>
      <x:c r="C25" s="84" t="str">
        <x:v>Cloud and exports</x:v>
      </x:c>
      <x:c r="D25" s="81" t="str">
        <x:v>Approve the final cloud-expiry wording and evidence.</x:v>
      </x:c>
      <x:c r="E25" s="81" t="str">
        <x:v>Close export ownership and storage-limit gates or move the launch target by one week.</x:v>
      </x:c>
      <x:c r="F25" s="82" t="str">
        <x:v>Yes</x:v>
      </x:c>
      <x:c r="G25" s="82" t="str">
        <x:v>Not started</x:v>
      </x:c>
      <x:c r="H25" s="81" t="str"/>
    </x:row>
    <x:row r="26" ht="54" customHeight="1">
      <x:c r="A26" s="78" t="n">
        <x:v>46314.5</x:v>
      </x:c>
      <x:c r="B26" s="79" t="str">
        <x:v>Week 4</x:v>
      </x:c>
      <x:c r="C26" s="85" t="str">
        <x:v>Desktop Mac</x:v>
      </x:c>
      <x:c r="D26" s="81" t="str">
        <x:v>Install the current macOS build on a clean or test Mac using only the written instructions.</x:v>
      </x:c>
      <x:c r="E26" s="81" t="str">
        <x:v>Expose and verify the full desktop project workspace, auth, library, and editing.</x:v>
      </x:c>
      <x:c r="F26" s="82" t="str">
        <x:v>Yes</x:v>
      </x:c>
      <x:c r="G26" s="82" t="str">
        <x:v>Not started</x:v>
      </x:c>
      <x:c r="H26" s="81" t="str"/>
    </x:row>
    <x:row r="27" ht="54" customHeight="1">
      <x:c r="A27" s="78" t="n">
        <x:v>46315.5</x:v>
      </x:c>
      <x:c r="B27" s="79" t="str">
        <x:v>Week 4</x:v>
      </x:c>
      <x:c r="C27" s="85" t="str">
        <x:v>Desktop Mac</x:v>
      </x:c>
      <x:c r="D27" s="81" t="str">
        <x:v>Test writing, quit and reopen, force-quit recovery, snapshot, restore, and vault relocation.</x:v>
      </x:c>
      <x:c r="E27" s="81" t="str">
        <x:v>Verify SQLite durability, integrity, WAL cleanup, folder warnings, and no data loss.</x:v>
      </x:c>
      <x:c r="F27" s="82" t="str">
        <x:v>Yes</x:v>
      </x:c>
      <x:c r="G27" s="82" t="str">
        <x:v>Not started</x:v>
      </x:c>
      <x:c r="H27" s="81" t="str"/>
    </x:row>
    <x:row r="28" ht="54" customHeight="1">
      <x:c r="A28" s="78" t="n">
        <x:v>46316.5</x:v>
      </x:c>
      <x:c r="B28" s="79" t="str">
        <x:v>Week 4</x:v>
      </x:c>
      <x:c r="C28" s="85" t="str">
        <x:v>Desktop Mac</x:v>
      </x:c>
      <x:c r="D28" s="81" t="str">
        <x:v>Test native ZIP, DOCX, PDF, and map PNG saves from the packaged Mac app.</x:v>
      </x:c>
      <x:c r="E28" s="81" t="str">
        <x:v>Verify native dialogs, cancellation and errors, file contents, and updater packaging.</x:v>
      </x:c>
      <x:c r="F28" s="82" t="str">
        <x:v>Yes</x:v>
      </x:c>
      <x:c r="G28" s="82" t="str">
        <x:v>Not started</x:v>
      </x:c>
      <x:c r="H28" s="81" t="str"/>
    </x:row>
    <x:row r="29" ht="54" customHeight="1">
      <x:c r="A29" s="78" t="n">
        <x:v>46317.5</x:v>
      </x:c>
      <x:c r="B29" s="79" t="str">
        <x:v>Week 4</x:v>
      </x:c>
      <x:c r="C29" s="85" t="str">
        <x:v>Desktop Mac</x:v>
      </x:c>
      <x:c r="D29" s="81" t="str">
        <x:v>Run the guided Local Mode, lapse, web edit, renewal, and merge-conflict scenario.</x:v>
      </x:c>
      <x:c r="E29" s="81" t="str">
        <x:v>Verify no cloud writes while lapsed, cold-start resume, retries, conflicts, and automatic sync restoration.</x:v>
      </x:c>
      <x:c r="F29" s="82" t="str">
        <x:v>Yes</x:v>
      </x:c>
      <x:c r="G29" s="82" t="str">
        <x:v>Not started</x:v>
      </x:c>
      <x:c r="H29" s="81" t="str"/>
    </x:row>
    <x:row r="30" ht="54" customHeight="1">
      <x:c r="A30" s="78" t="n">
        <x:v>46318.5</x:v>
      </x:c>
      <x:c r="B30" s="79" t="str">
        <x:v>Week 4</x:v>
      </x:c>
      <x:c r="C30" s="85" t="str">
        <x:v>Desktop Mac</x:v>
      </x:c>
      <x:c r="D30" s="81" t="str">
        <x:v>Approve Mac install and disclosure instructions after a clean-machine pass.</x:v>
      </x:c>
      <x:c r="E30" s="81" t="str">
        <x:v>Produce versioned Mac artifacts, hashes, provenance, updater metadata, and a desktop report.</x:v>
      </x:c>
      <x:c r="F30" s="82" t="str">
        <x:v>Yes</x:v>
      </x:c>
      <x:c r="G30" s="82" t="str">
        <x:v>Not started</x:v>
      </x:c>
      <x:c r="H30" s="81" t="str"/>
    </x:row>
    <x:row r="31" ht="54" customHeight="1">
      <x:c r="A31" s="78" t="n">
        <x:v>46321.5</x:v>
      </x:c>
      <x:c r="B31" s="79" t="str">
        <x:v>Week 5</x:v>
      </x:c>
      <x:c r="C31" s="86" t="str">
        <x:v>Desktop and project types</x:v>
      </x:c>
      <x:c r="D31" s="81" t="str">
        <x:v>Arrange or perform the clean Windows install using the written SmartScreen steps.</x:v>
      </x:c>
      <x:c r="E31" s="81" t="str">
        <x:v>Verify Windows install, WebView2, workspace, exports, updater, upgrade, and uninstall.</x:v>
      </x:c>
      <x:c r="F31" s="82" t="str">
        <x:v>Yes</x:v>
      </x:c>
      <x:c r="G31" s="82" t="str">
        <x:v>Not started</x:v>
      </x:c>
      <x:c r="H31" s="81" t="str"/>
    </x:row>
    <x:row r="32" ht="54" customHeight="1">
      <x:c r="A32" s="78" t="n">
        <x:v>46322.5</x:v>
      </x:c>
      <x:c r="B32" s="79" t="str">
        <x:v>Week 5</x:v>
      </x:c>
      <x:c r="C32" s="86" t="str">
        <x:v>Desktop and project types</x:v>
      </x:c>
      <x:c r="D32" s="81" t="str">
        <x:v>Confirm the download page shows correct files and unsigned-app disclosure to an entitled account.</x:v>
      </x:c>
      <x:c r="E32" s="81" t="str">
        <x:v>Configure final download URLs and verify server-side entitlement gating.</x:v>
      </x:c>
      <x:c r="F32" s="82" t="str">
        <x:v>Yes</x:v>
      </x:c>
      <x:c r="G32" s="82" t="str">
        <x:v>Not started</x:v>
      </x:c>
      <x:c r="H32" s="81" t="str"/>
    </x:row>
    <x:row r="33" ht="54" customHeight="1">
      <x:c r="A33" s="78" t="n">
        <x:v>46323.5</x:v>
      </x:c>
      <x:c r="B33" s="79" t="str">
        <x:v>Week 5</x:v>
      </x:c>
      <x:c r="C33" s="86" t="str">
        <x:v>Desktop and project types</x:v>
      </x:c>
      <x:c r="D33" s="81" t="str">
        <x:v>Test Novella and Short Story create, write, default-sections, and export flows.</x:v>
      </x:c>
      <x:c r="E33" s="81" t="str">
        <x:v>Close type-specific structure, template, navigation, persistence, and export checks.</x:v>
      </x:c>
      <x:c r="F33" s="82" t="str">
        <x:v>Yes</x:v>
      </x:c>
      <x:c r="G33" s="82" t="str">
        <x:v>Not started</x:v>
      </x:c>
      <x:c r="H33" s="81" t="str"/>
    </x:row>
    <x:row r="34" ht="54" customHeight="1">
      <x:c r="A34" s="78" t="n">
        <x:v>46324.5</x:v>
      </x:c>
      <x:c r="B34" s="79" t="str">
        <x:v>Week 5</x:v>
      </x:c>
      <x:c r="C34" s="86" t="str">
        <x:v>Desktop and project types</x:v>
      </x:c>
      <x:c r="D34" s="81" t="str">
        <x:v>Test D&amp;D and TTRPG prep and recap, Character Builder, map sections, and export.</x:v>
      </x:c>
      <x:c r="E34" s="81" t="str">
        <x:v>Close campaign persistence, language, AI context, and public-copy checks.</x:v>
      </x:c>
      <x:c r="F34" s="82" t="str">
        <x:v>Yes</x:v>
      </x:c>
      <x:c r="G34" s="82" t="str">
        <x:v>Not started</x:v>
      </x:c>
      <x:c r="H34" s="81" t="str"/>
    </x:row>
    <x:row r="35" ht="54" customHeight="1">
      <x:c r="A35" s="78" t="n">
        <x:v>46325.5</x:v>
      </x:c>
      <x:c r="B35" s="79" t="str">
        <x:v>Week 5</x:v>
      </x:c>
      <x:c r="C35" s="86" t="str">
        <x:v>Desktop and project types</x:v>
      </x:c>
      <x:c r="D35" s="81" t="str">
        <x:v>Test Novel and Comic workflows and approve the six-type evidence matrix.</x:v>
      </x:c>
      <x:c r="E35" s="81" t="str">
        <x:v>Close live-Supabase and realistic-load checks across all six project types.</x:v>
      </x:c>
      <x:c r="F35" s="82" t="str">
        <x:v>Yes</x:v>
      </x:c>
      <x:c r="G35" s="82" t="str">
        <x:v>Not started</x:v>
      </x:c>
      <x:c r="H35" s="81" t="str"/>
    </x:row>
    <x:row r="36" ht="54" customHeight="1">
      <x:c r="A36" s="78" t="n">
        <x:v>46328.5</x:v>
      </x:c>
      <x:c r="B36" s="79" t="str">
        <x:v>Week 6</x:v>
      </x:c>
      <x:c r="C36" s="87" t="str">
        <x:v>Product acceptance</x:v>
      </x:c>
      <x:c r="D36" s="81" t="str">
        <x:v>Test the rebuilt Map Builder using the owner acceptance checklist.</x:v>
      </x:c>
      <x:c r="E36" s="81" t="str">
        <x:v>Close creation, editing, layers, interaction, persistence, responsive, and export checks.</x:v>
      </x:c>
      <x:c r="F36" s="82" t="str">
        <x:v>Yes</x:v>
      </x:c>
      <x:c r="G36" s="82" t="str">
        <x:v>Not started</x:v>
      </x:c>
      <x:c r="H36" s="81" t="str"/>
    </x:row>
    <x:row r="37" ht="54" customHeight="1">
      <x:c r="A37" s="78" t="n">
        <x:v>46329.5</x:v>
      </x:c>
      <x:c r="B37" s="79" t="str">
        <x:v>Week 6</x:v>
      </x:c>
      <x:c r="C37" s="87" t="str">
        <x:v>Product acceptance</x:v>
      </x:c>
      <x:c r="D37" s="81" t="str">
        <x:v>Perform one realistic large-project session across every core workspace.</x:v>
      </x:c>
      <x:c r="E37" s="81" t="str">
        <x:v>Record timings, resolve release-blocking lag, and decide the very-large-single-scene limit.</x:v>
      </x:c>
      <x:c r="F37" s="82" t="str">
        <x:v>Yes</x:v>
      </x:c>
      <x:c r="G37" s="82" t="str">
        <x:v>Not started</x:v>
      </x:c>
      <x:c r="H37" s="81" t="str"/>
    </x:row>
    <x:row r="38" ht="54" customHeight="1">
      <x:c r="A38" s="78" t="n">
        <x:v>46330.5</x:v>
      </x:c>
      <x:c r="B38" s="79" t="str">
        <x:v>Week 6</x:v>
      </x:c>
      <x:c r="C38" s="87" t="str">
        <x:v>Product acceptance</x:v>
      </x:c>
      <x:c r="D38" s="81" t="str">
        <x:v>Test each AI provider you intend to advertise; remove any provider you cannot verify.</x:v>
      </x:c>
      <x:c r="E38" s="81" t="str">
        <x:v>Verify proxy auth, secrets, streaming, errors, context, disclosures, and persistence.</x:v>
      </x:c>
      <x:c r="F38" s="82" t="str">
        <x:v>Yes</x:v>
      </x:c>
      <x:c r="G38" s="82" t="str">
        <x:v>Not started</x:v>
      </x:c>
      <x:c r="H38" s="81" t="str"/>
    </x:row>
    <x:row r="39" ht="54" customHeight="1">
      <x:c r="A39" s="78" t="n">
        <x:v>46331.5</x:v>
      </x:c>
      <x:c r="B39" s="79" t="str">
        <x:v>Week 6</x:v>
      </x:c>
      <x:c r="C39" s="87" t="str">
        <x:v>Product acceptance</x:v>
      </x:c>
      <x:c r="D39" s="81" t="str">
        <x:v>Perform the guided phone, tablet, desktop, and accessibility pass.</x:v>
      </x:c>
      <x:c r="E39" s="81" t="str">
        <x:v>Close responsive, real-iPhone, keyboard, focus, screen-reader, contrast, and theme checks.</x:v>
      </x:c>
      <x:c r="F39" s="82" t="str">
        <x:v>Yes</x:v>
      </x:c>
      <x:c r="G39" s="82" t="str">
        <x:v>Not started</x:v>
      </x:c>
      <x:c r="H39" s="81" t="str"/>
    </x:row>
    <x:row r="40" ht="54" customHeight="1">
      <x:c r="A40" s="78" t="n">
        <x:v>46332.5</x:v>
      </x:c>
      <x:c r="B40" s="79" t="str">
        <x:v>Week 6</x:v>
      </x:c>
      <x:c r="C40" s="87" t="str">
        <x:v>Product acceptance</x:v>
      </x:c>
      <x:c r="D40" s="81" t="str">
        <x:v>Approve the feature-completeness report or remove an unready promise from launch.</x:v>
      </x:c>
      <x:c r="E40" s="81" t="str">
        <x:v>Close remaining worldbuilding, series, focused-writing, schedule, and AI-import gaps.</x:v>
      </x:c>
      <x:c r="F40" s="82" t="str">
        <x:v>Yes</x:v>
      </x:c>
      <x:c r="G40" s="82" t="str">
        <x:v>Not started</x:v>
      </x:c>
      <x:c r="H40" s="81" t="str"/>
    </x:row>
    <x:row r="41" ht="54" customHeight="1">
      <x:c r="A41" s="78" t="n">
        <x:v>46335.5</x:v>
      </x:c>
      <x:c r="B41" s="79" t="str">
        <x:v>Week 7</x:v>
      </x:c>
      <x:c r="C41" s="88" t="str">
        <x:v>Legal and release candidate</x:v>
      </x:c>
      <x:c r="D41" s="81" t="str">
        <x:v>Read Pricing, FAQ, Terms, Privacy, cancellation, storage, Local Mode, Founder, AI, and export copy as a customer.</x:v>
      </x:c>
      <x:c r="E41" s="81" t="str">
        <x:v>Deliver one reconciled legal and promise packet with no behavior-copy contradictions.</x:v>
      </x:c>
      <x:c r="F41" s="82" t="str">
        <x:v>Yes</x:v>
      </x:c>
      <x:c r="G41" s="82" t="str">
        <x:v>Not started</x:v>
      </x:c>
      <x:c r="H41" s="81" t="str"/>
    </x:row>
    <x:row r="42" ht="54" customHeight="1">
      <x:c r="A42" s="78" t="n">
        <x:v>46336.5</x:v>
      </x:c>
      <x:c r="B42" s="79" t="str">
        <x:v>Week 7</x:v>
      </x:c>
      <x:c r="C42" s="88" t="str">
        <x:v>Legal and release candidate</x:v>
      </x:c>
      <x:c r="D42" s="81" t="str">
        <x:v>Approve final copy and business identity and contact details.</x:v>
      </x:c>
      <x:c r="E42" s="81" t="str">
        <x:v>Freeze legal and marketing copy and verify every public claim.</x:v>
      </x:c>
      <x:c r="F42" s="82" t="str">
        <x:v>Yes</x:v>
      </x:c>
      <x:c r="G42" s="82" t="str">
        <x:v>Not started</x:v>
      </x:c>
      <x:c r="H42" s="81" t="str"/>
    </x:row>
    <x:row r="43" ht="54" customHeight="1">
      <x:c r="A43" s="78" t="n">
        <x:v>46337.5</x:v>
      </x:c>
      <x:c r="B43" s="79" t="str">
        <x:v>Week 7</x:v>
      </x:c>
      <x:c r="C43" s="88" t="str">
        <x:v>Legal and release candidate</x:v>
      </x:c>
      <x:c r="D43" s="81" t="str">
        <x:v>Work through the guided Stripe test-mode checklist one dashboard step at a time.</x:v>
      </x:c>
      <x:c r="E43" s="81" t="str">
        <x:v>Verify plans, renewal, failure, replay, refunds, disputes, and Founder allocation.</x:v>
      </x:c>
      <x:c r="F43" s="82" t="str">
        <x:v>Yes</x:v>
      </x:c>
      <x:c r="G43" s="82" t="str">
        <x:v>Not started</x:v>
      </x:c>
      <x:c r="H43" s="81" t="str"/>
    </x:row>
    <x:row r="44" ht="54" customHeight="1">
      <x:c r="A44" s="78" t="n">
        <x:v>46338.5</x:v>
      </x:c>
      <x:c r="B44" s="79" t="str">
        <x:v>Week 7</x:v>
      </x:c>
      <x:c r="C44" s="88" t="str">
        <x:v>Legal and release candidate</x:v>
      </x:c>
      <x:c r="D44" s="81" t="str">
        <x:v>Approve beta-graduation email, launch announcement, pricing message, screenshots, and support template.</x:v>
      </x:c>
      <x:c r="E44" s="81" t="str">
        <x:v>Prepare reversible Beta closure and tester migration scripts without running them.</x:v>
      </x:c>
      <x:c r="F44" s="82" t="str">
        <x:v>Yes</x:v>
      </x:c>
      <x:c r="G44" s="82" t="str">
        <x:v>Not started</x:v>
      </x:c>
      <x:c r="H44" s="81" t="str"/>
    </x:row>
    <x:row r="45" ht="54" customHeight="1">
      <x:c r="A45" s="78" t="n">
        <x:v>46339.5</x:v>
      </x:c>
      <x:c r="B45" s="79" t="str">
        <x:v>Week 7</x:v>
      </x:c>
      <x:c r="C45" s="88" t="str">
        <x:v>Legal and release candidate</x:v>
      </x:c>
      <x:c r="D45" s="81" t="str">
        <x:v>Hold the formal go or no-go review and say go only if every hard gate has evidence.</x:v>
      </x:c>
      <x:c r="E45" s="81" t="str">
        <x:v>Freeze Release Candidate 1. A no-go moves later dates by one week without shortening the runway.</x:v>
      </x:c>
      <x:c r="F45" s="82" t="str">
        <x:v>Yes</x:v>
      </x:c>
      <x:c r="G45" s="82" t="str">
        <x:v>Not started</x:v>
      </x:c>
      <x:c r="H45" s="81" t="str"/>
    </x:row>
    <x:row r="46" ht="54" customHeight="1">
      <x:c r="A46" s="78" t="n">
        <x:v>46342.5</x:v>
      </x:c>
      <x:c r="B46" s="79" t="str">
        <x:v>Week 8</x:v>
      </x:c>
      <x:c r="C46" s="89" t="str">
        <x:v>Marketing runway 1</x:v>
      </x:c>
      <x:c r="D46" s="81" t="str">
        <x:v>If go, approve closing new Beta enrollment and removing Beta from public plan choices.</x:v>
      </x:c>
      <x:c r="E46" s="81" t="str">
        <x:v>Close new Beta grants and public enrollment while preserving existing tester access and exports.</x:v>
      </x:c>
      <x:c r="F46" s="82" t="str">
        <x:v>Yes</x:v>
      </x:c>
      <x:c r="G46" s="82" t="str">
        <x:v>Not started</x:v>
      </x:c>
      <x:c r="H46" s="81" t="str"/>
    </x:row>
    <x:row r="47" ht="54" customHeight="1">
      <x:c r="A47" s="78" t="n">
        <x:v>46343.5</x:v>
      </x:c>
      <x:c r="B47" s="79" t="str">
        <x:v>Week 8</x:v>
      </x:c>
      <x:c r="C47" s="89" t="str">
        <x:v>Marketing runway 1</x:v>
      </x:c>
      <x:c r="D47" s="81" t="str">
        <x:v>Email existing Beta testers with launch timing, retained access, notice path, and backup steps.</x:v>
      </x:c>
      <x:c r="E47" s="81" t="str">
        <x:v>Verify delivery, segmentation, support routing, and no entitlement revocation.</x:v>
      </x:c>
      <x:c r="F47" s="82" t="str">
        <x:v>Yes</x:v>
      </x:c>
      <x:c r="G47" s="82" t="str">
        <x:v>Not started</x:v>
      </x:c>
      <x:c r="H47" s="81" t="str"/>
    </x:row>
    <x:row r="48" ht="54" customHeight="1">
      <x:c r="A48" s="78" t="n">
        <x:v>46344.5</x:v>
      </x:c>
      <x:c r="B48" s="79" t="str">
        <x:v>Week 8</x:v>
      </x:c>
      <x:c r="C48" s="89" t="str">
        <x:v>Marketing runway 1</x:v>
      </x:c>
      <x:c r="D48" s="81" t="str">
        <x:v>Publish the 30 November launch announcement and updated marketing pages.</x:v>
      </x:c>
      <x:c r="E48" s="81" t="str">
        <x:v>Deploy launch-date marketing with checkout disabled; verify SEO, sitemap, analytics, and links.</x:v>
      </x:c>
      <x:c r="F48" s="82" t="str">
        <x:v>Yes</x:v>
      </x:c>
      <x:c r="G48" s="82" t="str">
        <x:v>Not started</x:v>
      </x:c>
      <x:c r="H48" s="81" t="str"/>
    </x:row>
    <x:row r="49" ht="54" customHeight="1">
      <x:c r="A49" s="78" t="n">
        <x:v>46345.5</x:v>
      </x:c>
      <x:c r="B49" s="79" t="str">
        <x:v>Week 8</x:v>
      </x:c>
      <x:c r="C49" s="89" t="str">
        <x:v>Marketing runway 1</x:v>
      </x:c>
      <x:c r="D49" s="81" t="str">
        <x:v>Test the signed-out visitor journey on phone and desktop.</x:v>
      </x:c>
      <x:c r="E49" s="81" t="str">
        <x:v>Fix only launch-blocking copy, navigation, or signup problems.</x:v>
      </x:c>
      <x:c r="F49" s="82" t="str">
        <x:v>Yes</x:v>
      </x:c>
      <x:c r="G49" s="82" t="str">
        <x:v>Not started</x:v>
      </x:c>
      <x:c r="H49" s="81" t="str"/>
    </x:row>
    <x:row r="50" ht="54" customHeight="1">
      <x:c r="A50" s="78" t="n">
        <x:v>46346.5</x:v>
      </x:c>
      <x:c r="B50" s="79" t="str">
        <x:v>Week 8</x:v>
      </x:c>
      <x:c r="C50" s="89" t="str">
        <x:v>Marketing runway 1</x:v>
      </x:c>
      <x:c r="D50" s="81" t="str">
        <x:v>Review interest, tester replies, support load, and analytics; approve copy-only corrections.</x:v>
      </x:c>
      <x:c r="E50" s="81" t="str">
        <x:v>Produce the first marketing-runway report without expanding product scope.</x:v>
      </x:c>
      <x:c r="F50" s="82" t="str">
        <x:v>No</x:v>
      </x:c>
      <x:c r="G50" s="82" t="str">
        <x:v>Not started</x:v>
      </x:c>
      <x:c r="H50" s="81" t="str"/>
    </x:row>
    <x:row r="51" ht="54" customHeight="1">
      <x:c r="A51" s="78" t="n">
        <x:v>46349.5</x:v>
      </x:c>
      <x:c r="B51" s="79" t="str">
        <x:v>Week 9</x:v>
      </x:c>
      <x:c r="C51" s="90" t="str">
        <x:v>Marketing runway 2</x:v>
      </x:c>
      <x:c r="D51" s="81" t="str">
        <x:v>Publish the main use-case story and demonstrate one complete writer workflow.</x:v>
      </x:c>
      <x:c r="E51" s="81" t="str">
        <x:v>Run Release Candidate 2 regression and production header, CSP, and analytics checks.</x:v>
      </x:c>
      <x:c r="F51" s="82" t="str">
        <x:v>Yes</x:v>
      </x:c>
      <x:c r="G51" s="82" t="str">
        <x:v>Not started</x:v>
      </x:c>
      <x:c r="H51" s="81" t="str"/>
    </x:row>
    <x:row r="52" ht="54" customHeight="1">
      <x:c r="A52" s="78" t="n">
        <x:v>46350.5</x:v>
      </x:c>
      <x:c r="B52" s="79" t="str">
        <x:v>Week 9</x:v>
      </x:c>
      <x:c r="C52" s="90" t="str">
        <x:v>Marketing runway 2</x:v>
      </x:c>
      <x:c r="D52" s="81" t="str">
        <x:v>Publish the ownership, export, Local Mode, and desktop message.</x:v>
      </x:c>
      <x:c r="E52" s="81" t="str">
        <x:v>Recheck artifacts, hashes, entitlement gating, backup and restore, and expiry copy.</x:v>
      </x:c>
      <x:c r="F52" s="82" t="str">
        <x:v>Yes</x:v>
      </x:c>
      <x:c r="G52" s="82" t="str">
        <x:v>Not started</x:v>
      </x:c>
      <x:c r="H52" s="81" t="str"/>
    </x:row>
    <x:row r="53" ht="54" customHeight="1">
      <x:c r="A53" s="78" t="n">
        <x:v>46351.5</x:v>
      </x:c>
      <x:c r="B53" s="79" t="str">
        <x:v>Week 9</x:v>
      </x:c>
      <x:c r="C53" s="90" t="str">
        <x:v>Marketing runway 2</x:v>
      </x:c>
      <x:c r="D53" s="81" t="str">
        <x:v>Publish project-type examples and confirm all six are described honestly.</x:v>
      </x:c>
      <x:c r="E53" s="81" t="str">
        <x:v>Rerun the six-type smoke matrix and marketing-promise tests.</x:v>
      </x:c>
      <x:c r="F53" s="82" t="str">
        <x:v>Yes</x:v>
      </x:c>
      <x:c r="G53" s="82" t="str">
        <x:v>Not started</x:v>
      </x:c>
      <x:c r="H53" s="81" t="str"/>
    </x:row>
    <x:row r="54" ht="54" customHeight="1">
      <x:c r="A54" s="78" t="n">
        <x:v>46352.5</x:v>
      </x:c>
      <x:c r="B54" s="79" t="str">
        <x:v>Week 9</x:v>
      </x:c>
      <x:c r="C54" s="90" t="str">
        <x:v>Marketing runway 2</x:v>
      </x:c>
      <x:c r="D54" s="81" t="str">
        <x:v>Review the support runbook, refunds, cancellation, incident contacts, and rollback triggers.</x:v>
      </x:c>
      <x:c r="E54" s="81" t="str">
        <x:v>Rehearse rollback, checkout disable, database backup, monitoring, and escalation.</x:v>
      </x:c>
      <x:c r="F54" s="82" t="str">
        <x:v>Yes</x:v>
      </x:c>
      <x:c r="G54" s="82" t="str">
        <x:v>Not started</x:v>
      </x:c>
      <x:c r="H54" s="81" t="str"/>
    </x:row>
    <x:row r="55" ht="54" customHeight="1">
      <x:c r="A55" s="78" t="n">
        <x:v>46353.5</x:v>
      </x:c>
      <x:c r="B55" s="79" t="str">
        <x:v>Week 9</x:v>
      </x:c>
      <x:c r="C55" s="90" t="str">
        <x:v>Marketing runway 2</x:v>
      </x:c>
      <x:c r="D55" s="81" t="str">
        <x:v>Perform the final guided purchase rehearsal and sign the launch checklist.</x:v>
      </x:c>
      <x:c r="E55" s="81" t="str">
        <x:v>Review live Stripe configuration and verify checkout in preview; keep production checkout off.</x:v>
      </x:c>
      <x:c r="F55" s="82" t="str">
        <x:v>Yes</x:v>
      </x:c>
      <x:c r="G55" s="82" t="str">
        <x:v>Not started</x:v>
      </x:c>
      <x:c r="H55" s="81" t="str"/>
    </x:row>
    <x:row r="56" ht="54" customHeight="1">
      <x:c r="A56" s="91" t="n">
        <x:v>46356.5</x:v>
      </x:c>
      <x:c r="B56" s="92" t="str">
        <x:v>Week 10</x:v>
      </x:c>
      <x:c r="C56" s="93" t="str">
        <x:v>Launch</x:v>
      </x:c>
      <x:c r="D56" s="94" t="str">
        <x:v>Approve the production checkout switch, announce launch, and monitor transactions and support.</x:v>
      </x:c>
      <x:c r="E56" s="94" t="str">
        <x:v>Back up, deploy, enable checkout, migrate existing Beta accounts into the 30-day notice path, smoke-test, and keep rollback ready.</x:v>
      </x:c>
      <x:c r="F56" s="95" t="str">
        <x:v>Yes</x:v>
      </x:c>
      <x:c r="G56" s="95" t="str">
        <x:v>Not started</x:v>
      </x:c>
      <x:c r="H56" s="94" t="str"/>
    </x:row>
  </x:sheetData>
  <x:mergeCells>
    <x:mergeCell ref="A2:H2"/>
    <x:mergeCell ref="A3:H3"/>
    <x:mergeCell ref="D5:H5"/>
    <x:mergeCell ref="D6:H9"/>
  </x:mergeCells>
  <x:conditionalFormatting sqref="G11:G56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Blocked"/>
    <x:cfRule type="containsText" dxfId="3" priority="4" operator="containsText" text="Not started"/>
  </x:conditionalFormatting>
  <x:dataValidations count="1">
    <x:dataValidation type="list" sqref="G11:G56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998875434641d9"/>
  </x:tableParts>
</x:worksheet>
</file>

<file path=xl/worksheets/sheet2.xml><?xml version="1.0" encoding="utf-8"?>
<x:worksheet xmlns:x="http://schemas.openxmlformats.org/spreadsheetml/2006/main">
  <x:sheetPr>
    <x:tabColor rgb="FF2B7A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A2" s="1" t="str">
        <x:v>YOW launch calendar</x:v>
      </x:c>
    </x:row>
    <x:row r="3">
      <x:c r="A3" s="2" t="str">
        <x:v>Owner tasks only · engineering outcomes remain in the Launch Plan tab</x:v>
      </x:c>
    </x:row>
    <x:row r="5" ht="24" customHeight="1">
      <x:c r="A5" s="101" t="str">
        <x:v>Week 1 · 2026-09-28 to 2026-10-02 · Release baseline</x:v>
      </x:c>
      <x:c r="B5" s="102"/>
      <x:c r="C5" s="102"/>
      <x:c r="D5" s="102"/>
      <x:c r="E5" s="102"/>
      <x:c r="F5" s="102"/>
      <x:c r="G5" s="102"/>
      <x:c r="H5" s="102"/>
      <x:c r="I5" s="102"/>
      <x:c r="J5" s="103"/>
    </x:row>
    <x:row r="6" ht="24" customHeight="1">
      <x:c r="A6" s="109" t="str">
        <x:v>Mon 28 Sept</x:v>
      </x:c>
      <x:c r="B6" s="110"/>
      <x:c r="C6" s="109" t="str">
        <x:v>Tue 29 Sept</x:v>
      </x:c>
      <x:c r="D6" s="110"/>
      <x:c r="E6" s="109" t="str">
        <x:v>Wed 30 Sept</x:v>
      </x:c>
      <x:c r="F6" s="110"/>
      <x:c r="G6" s="109" t="str">
        <x:v>Thu 1 Oct</x:v>
      </x:c>
      <x:c r="H6" s="110"/>
      <x:c r="I6" s="109" t="str">
        <x:v>Fri 2 Oct</x:v>
      </x:c>
      <x:c r="J6" s="110"/>
    </x:row>
    <x:row r="7" ht="22" customHeight="1">
      <x:c r="A7" s="125" t="str">
        <x:v>Approve the calendar and reserve weekday review blocks through 30 November.</x:v>
      </x:c>
      <x:c r="B7" s="126"/>
      <x:c r="C7" s="125" t="str">
        <x:v>Review the short release-baseline report and decide only if a true scope conflict is surfaced.</x:v>
      </x:c>
      <x:c r="D7" s="126"/>
      <x:c r="E7" s="125" t="str">
        <x:v>Run a 30-minute sign-in, project, writing, and export smoke test.</x:v>
      </x:c>
      <x:c r="F7" s="126"/>
      <x:c r="G7" s="125" t="str">
        <x:v>Confirm the six launch project types and excluded promises still match the product you intend to sell.</x:v>
      </x:c>
      <x:c r="H7" s="126"/>
      <x:c r="I7" s="125" t="str">
        <x:v>Review the Week 1 status and approve the ordered blocker queue.</x:v>
      </x:c>
      <x:c r="J7" s="126"/>
    </x:row>
    <x:row r="8" ht="22" customHeight="1">
      <x:c r="A8" s="127"/>
      <x:c r="B8" s="128"/>
      <x:c r="C8" s="127"/>
      <x:c r="D8" s="128"/>
      <x:c r="E8" s="127"/>
      <x:c r="F8" s="128"/>
      <x:c r="G8" s="127"/>
      <x:c r="H8" s="128"/>
      <x:c r="I8" s="127"/>
      <x:c r="J8" s="128"/>
    </x:row>
    <x:row r="9" ht="22" customHeight="1">
      <x:c r="A9" s="127"/>
      <x:c r="B9" s="128"/>
      <x:c r="C9" s="127"/>
      <x:c r="D9" s="128"/>
      <x:c r="E9" s="127"/>
      <x:c r="F9" s="128"/>
      <x:c r="G9" s="127"/>
      <x:c r="H9" s="128"/>
      <x:c r="I9" s="127"/>
      <x:c r="J9" s="128"/>
    </x:row>
    <x:row r="10" ht="22" customHeight="1">
      <x:c r="A10" s="129"/>
      <x:c r="B10" s="130"/>
      <x:c r="C10" s="129"/>
      <x:c r="D10" s="130"/>
      <x:c r="E10" s="129"/>
      <x:c r="F10" s="130"/>
      <x:c r="G10" s="129"/>
      <x:c r="H10" s="130"/>
      <x:c r="I10" s="129"/>
      <x:c r="J10" s="130"/>
    </x:row>
    <x:row r="12" ht="24" customHeight="1">
      <x:c r="A12" s="136" t="str">
        <x:v>Week 2 · 2026-10-05 to 2026-10-09 · Data safety</x:v>
      </x:c>
      <x:c r="B12" s="137"/>
      <x:c r="C12" s="137"/>
      <x:c r="D12" s="137"/>
      <x:c r="E12" s="137"/>
      <x:c r="F12" s="137"/>
      <x:c r="G12" s="137"/>
      <x:c r="H12" s="137"/>
      <x:c r="I12" s="137"/>
      <x:c r="J12" s="138"/>
    </x:row>
    <x:row r="13" ht="24" customHeight="1">
      <x:c r="A13" s="109" t="str">
        <x:v>Mon 5 Oct</x:v>
      </x:c>
      <x:c r="B13" s="110"/>
      <x:c r="C13" s="109" t="str">
        <x:v>Tue 6 Oct</x:v>
      </x:c>
      <x:c r="D13" s="110"/>
      <x:c r="E13" s="109" t="str">
        <x:v>Wed 7 Oct</x:v>
      </x:c>
      <x:c r="F13" s="110"/>
      <x:c r="G13" s="109" t="str">
        <x:v>Thu 8 Oct</x:v>
      </x:c>
      <x:c r="H13" s="110"/>
      <x:c r="I13" s="109" t="str">
        <x:v>Fri 9 Oct</x:v>
      </x:c>
      <x:c r="J13" s="110"/>
    </x:row>
    <x:row r="14" ht="22" customHeight="1">
      <x:c r="A14" s="125" t="str">
        <x:v>Provide the production Supabase session or access needed for the guided migration check.</x:v>
      </x:c>
      <x:c r="B14" s="126"/>
      <x:c r="C14" s="125" t="str">
        <x:v>Perform the guided two-tab same-scene edit test with the designated test account.</x:v>
      </x:c>
      <x:c r="D14" s="126"/>
      <x:c r="E14" s="125" t="str">
        <x:v>Perform the guided two-account isolation and account-switch test.</x:v>
      </x:c>
      <x:c r="F14" s="126"/>
      <x:c r="G14" s="125" t="str">
        <x:v>Approve or defer the optional git-history rewrite after reviewing the auth-log result.</x:v>
      </x:c>
      <x:c r="H14" s="126"/>
      <x:c r="I14" s="125" t="str">
        <x:v>Sign off the plain-English data-safety evidence packet.</x:v>
      </x:c>
      <x:c r="J14" s="126"/>
    </x:row>
    <x:row r="15" ht="22" customHeight="1">
      <x:c r="A15" s="127"/>
      <x:c r="B15" s="128"/>
      <x:c r="C15" s="127"/>
      <x:c r="D15" s="128"/>
      <x:c r="E15" s="127"/>
      <x:c r="F15" s="128"/>
      <x:c r="G15" s="127"/>
      <x:c r="H15" s="128"/>
      <x:c r="I15" s="127"/>
      <x:c r="J15" s="128"/>
    </x:row>
    <x:row r="16" ht="22" customHeight="1">
      <x:c r="A16" s="127"/>
      <x:c r="B16" s="128"/>
      <x:c r="C16" s="127"/>
      <x:c r="D16" s="128"/>
      <x:c r="E16" s="127"/>
      <x:c r="F16" s="128"/>
      <x:c r="G16" s="127"/>
      <x:c r="H16" s="128"/>
      <x:c r="I16" s="127"/>
      <x:c r="J16" s="128"/>
    </x:row>
    <x:row r="17" ht="22" customHeight="1">
      <x:c r="A17" s="129"/>
      <x:c r="B17" s="130"/>
      <x:c r="C17" s="129"/>
      <x:c r="D17" s="130"/>
      <x:c r="E17" s="129"/>
      <x:c r="F17" s="130"/>
      <x:c r="G17" s="129"/>
      <x:c r="H17" s="130"/>
      <x:c r="I17" s="129"/>
      <x:c r="J17" s="130"/>
    </x:row>
    <x:row r="19" ht="24" customHeight="1">
      <x:c r="A19" s="144" t="str">
        <x:v>Week 3 · 2026-10-12 to 2026-10-16 · Cloud and exports</x:v>
      </x:c>
      <x:c r="B19" s="145"/>
      <x:c r="C19" s="145"/>
      <x:c r="D19" s="145"/>
      <x:c r="E19" s="145"/>
      <x:c r="F19" s="145"/>
      <x:c r="G19" s="145"/>
      <x:c r="H19" s="145"/>
      <x:c r="I19" s="145"/>
      <x:c r="J19" s="146"/>
    </x:row>
    <x:row r="20" ht="24" customHeight="1">
      <x:c r="A20" s="109" t="str">
        <x:v>Mon 12 Oct</x:v>
      </x:c>
      <x:c r="B20" s="110"/>
      <x:c r="C20" s="109" t="str">
        <x:v>Tue 13 Oct</x:v>
      </x:c>
      <x:c r="D20" s="110"/>
      <x:c r="E20" s="109" t="str">
        <x:v>Wed 14 Oct</x:v>
      </x:c>
      <x:c r="F20" s="110"/>
      <x:c r="G20" s="109" t="str">
        <x:v>Thu 15 Oct</x:v>
      </x:c>
      <x:c r="H20" s="110"/>
      <x:c r="I20" s="109" t="str">
        <x:v>Fri 16 Oct</x:v>
      </x:c>
      <x:c r="J20" s="110"/>
    </x:row>
    <x:row r="21" ht="22" customHeight="1">
      <x:c r="A21" s="125" t="str">
        <x:v>Test a real media upload, replacement, and deletion while watching the Storage figure.</x:v>
      </x:c>
      <x:c r="B21" s="126"/>
      <x:c r="C21" s="125" t="str">
        <x:v>Run one guided full-account export and open representative ZIP, DOCX, PDF, and World Bible outputs.</x:v>
      </x:c>
      <x:c r="D21" s="126"/>
      <x:c r="E21" s="125" t="str">
        <x:v>Run guided import-as-new, import-into-existing, and second-account collision checks.</x:v>
      </x:c>
      <x:c r="F21" s="126"/>
      <x:c r="G21" s="125" t="str">
        <x:v>Review the customer warning sequence for cloud expiry and inactive Free accounts.</x:v>
      </x:c>
      <x:c r="H21" s="126"/>
      <x:c r="I21" s="125" t="str">
        <x:v>Approve the final cloud-expiry wording and evidence.</x:v>
      </x:c>
      <x:c r="J21" s="126"/>
    </x:row>
    <x:row r="22" ht="22" customHeight="1">
      <x:c r="A22" s="127"/>
      <x:c r="B22" s="128"/>
      <x:c r="C22" s="127"/>
      <x:c r="D22" s="128"/>
      <x:c r="E22" s="127"/>
      <x:c r="F22" s="128"/>
      <x:c r="G22" s="127"/>
      <x:c r="H22" s="128"/>
      <x:c r="I22" s="127"/>
      <x:c r="J22" s="128"/>
    </x:row>
    <x:row r="23" ht="22" customHeight="1">
      <x:c r="A23" s="127"/>
      <x:c r="B23" s="128"/>
      <x:c r="C23" s="127"/>
      <x:c r="D23" s="128"/>
      <x:c r="E23" s="127"/>
      <x:c r="F23" s="128"/>
      <x:c r="G23" s="127"/>
      <x:c r="H23" s="128"/>
      <x:c r="I23" s="127"/>
      <x:c r="J23" s="128"/>
    </x:row>
    <x:row r="24" ht="22" customHeight="1">
      <x:c r="A24" s="129"/>
      <x:c r="B24" s="130"/>
      <x:c r="C24" s="129"/>
      <x:c r="D24" s="130"/>
      <x:c r="E24" s="129"/>
      <x:c r="F24" s="130"/>
      <x:c r="G24" s="129"/>
      <x:c r="H24" s="130"/>
      <x:c r="I24" s="129"/>
      <x:c r="J24" s="130"/>
    </x:row>
    <x:row r="26" ht="24" customHeight="1">
      <x:c r="A26" s="152" t="str">
        <x:v>Week 4 · 2026-10-19 to 2026-10-23 · Desktop Mac</x:v>
      </x:c>
      <x:c r="B26" s="153"/>
      <x:c r="C26" s="153"/>
      <x:c r="D26" s="153"/>
      <x:c r="E26" s="153"/>
      <x:c r="F26" s="153"/>
      <x:c r="G26" s="153"/>
      <x:c r="H26" s="153"/>
      <x:c r="I26" s="153"/>
      <x:c r="J26" s="154"/>
    </x:row>
    <x:row r="27" ht="24" customHeight="1">
      <x:c r="A27" s="109" t="str">
        <x:v>Mon 19 Oct</x:v>
      </x:c>
      <x:c r="B27" s="110"/>
      <x:c r="C27" s="109" t="str">
        <x:v>Tue 20 Oct</x:v>
      </x:c>
      <x:c r="D27" s="110"/>
      <x:c r="E27" s="109" t="str">
        <x:v>Wed 21 Oct</x:v>
      </x:c>
      <x:c r="F27" s="110"/>
      <x:c r="G27" s="109" t="str">
        <x:v>Thu 22 Oct</x:v>
      </x:c>
      <x:c r="H27" s="110"/>
      <x:c r="I27" s="109" t="str">
        <x:v>Fri 23 Oct</x:v>
      </x:c>
      <x:c r="J27" s="110"/>
    </x:row>
    <x:row r="28" ht="22" customHeight="1">
      <x:c r="A28" s="125" t="str">
        <x:v>Install the current macOS build on a clean or test Mac using only the written instructions.</x:v>
      </x:c>
      <x:c r="B28" s="126"/>
      <x:c r="C28" s="125" t="str">
        <x:v>Test writing, quit and reopen, force-quit recovery, snapshot, restore, and vault relocation.</x:v>
      </x:c>
      <x:c r="D28" s="126"/>
      <x:c r="E28" s="125" t="str">
        <x:v>Test native ZIP, DOCX, PDF, and map PNG saves from the packaged Mac app.</x:v>
      </x:c>
      <x:c r="F28" s="126"/>
      <x:c r="G28" s="125" t="str">
        <x:v>Run the guided Local Mode, lapse, web edit, renewal, and merge-conflict scenario.</x:v>
      </x:c>
      <x:c r="H28" s="126"/>
      <x:c r="I28" s="125" t="str">
        <x:v>Approve Mac install and disclosure instructions after a clean-machine pass.</x:v>
      </x:c>
      <x:c r="J28" s="126"/>
    </x:row>
    <x:row r="29" ht="22" customHeight="1">
      <x:c r="A29" s="127"/>
      <x:c r="B29" s="128"/>
      <x:c r="C29" s="127"/>
      <x:c r="D29" s="128"/>
      <x:c r="E29" s="127"/>
      <x:c r="F29" s="128"/>
      <x:c r="G29" s="127"/>
      <x:c r="H29" s="128"/>
      <x:c r="I29" s="127"/>
      <x:c r="J29" s="128"/>
    </x:row>
    <x:row r="30" ht="22" customHeight="1">
      <x:c r="A30" s="127"/>
      <x:c r="B30" s="128"/>
      <x:c r="C30" s="127"/>
      <x:c r="D30" s="128"/>
      <x:c r="E30" s="127"/>
      <x:c r="F30" s="128"/>
      <x:c r="G30" s="127"/>
      <x:c r="H30" s="128"/>
      <x:c r="I30" s="127"/>
      <x:c r="J30" s="128"/>
    </x:row>
    <x:row r="31" ht="22" customHeight="1">
      <x:c r="A31" s="129"/>
      <x:c r="B31" s="130"/>
      <x:c r="C31" s="129"/>
      <x:c r="D31" s="130"/>
      <x:c r="E31" s="129"/>
      <x:c r="F31" s="130"/>
      <x:c r="G31" s="129"/>
      <x:c r="H31" s="130"/>
      <x:c r="I31" s="129"/>
      <x:c r="J31" s="130"/>
    </x:row>
    <x:row r="33" ht="24" customHeight="1">
      <x:c r="A33" s="160" t="str">
        <x:v>Week 5 · 2026-10-26 to 2026-10-30 · Desktop and project types</x:v>
      </x:c>
      <x:c r="B33" s="161"/>
      <x:c r="C33" s="161"/>
      <x:c r="D33" s="161"/>
      <x:c r="E33" s="161"/>
      <x:c r="F33" s="161"/>
      <x:c r="G33" s="161"/>
      <x:c r="H33" s="161"/>
      <x:c r="I33" s="161"/>
      <x:c r="J33" s="162"/>
    </x:row>
    <x:row r="34" ht="24" customHeight="1">
      <x:c r="A34" s="109" t="str">
        <x:v>Mon 26 Oct</x:v>
      </x:c>
      <x:c r="B34" s="110"/>
      <x:c r="C34" s="109" t="str">
        <x:v>Tue 27 Oct</x:v>
      </x:c>
      <x:c r="D34" s="110"/>
      <x:c r="E34" s="109" t="str">
        <x:v>Wed 28 Oct</x:v>
      </x:c>
      <x:c r="F34" s="110"/>
      <x:c r="G34" s="109" t="str">
        <x:v>Thu 29 Oct</x:v>
      </x:c>
      <x:c r="H34" s="110"/>
      <x:c r="I34" s="109" t="str">
        <x:v>Fri 30 Oct</x:v>
      </x:c>
      <x:c r="J34" s="110"/>
    </x:row>
    <x:row r="35" ht="22" customHeight="1">
      <x:c r="A35" s="125" t="str">
        <x:v>Arrange or perform the clean Windows install using the written SmartScreen steps.</x:v>
      </x:c>
      <x:c r="B35" s="126"/>
      <x:c r="C35" s="125" t="str">
        <x:v>Confirm the download page shows correct files and unsigned-app disclosure to an entitled account.</x:v>
      </x:c>
      <x:c r="D35" s="126"/>
      <x:c r="E35" s="125" t="str">
        <x:v>Test Novella and Short Story create, write, default-sections, and export flows.</x:v>
      </x:c>
      <x:c r="F35" s="126"/>
      <x:c r="G35" s="125" t="str">
        <x:v>Test D&amp;D and TTRPG prep and recap, Character Builder, map sections, and export.</x:v>
      </x:c>
      <x:c r="H35" s="126"/>
      <x:c r="I35" s="125" t="str">
        <x:v>Test Novel and Comic workflows and approve the six-type evidence matrix.</x:v>
      </x:c>
      <x:c r="J35" s="126"/>
    </x:row>
    <x:row r="36" ht="22" customHeight="1">
      <x:c r="A36" s="127"/>
      <x:c r="B36" s="128"/>
      <x:c r="C36" s="127"/>
      <x:c r="D36" s="128"/>
      <x:c r="E36" s="127"/>
      <x:c r="F36" s="128"/>
      <x:c r="G36" s="127"/>
      <x:c r="H36" s="128"/>
      <x:c r="I36" s="127"/>
      <x:c r="J36" s="128"/>
    </x:row>
    <x:row r="37" ht="22" customHeight="1">
      <x:c r="A37" s="127"/>
      <x:c r="B37" s="128"/>
      <x:c r="C37" s="127"/>
      <x:c r="D37" s="128"/>
      <x:c r="E37" s="127"/>
      <x:c r="F37" s="128"/>
      <x:c r="G37" s="127"/>
      <x:c r="H37" s="128"/>
      <x:c r="I37" s="127"/>
      <x:c r="J37" s="128"/>
    </x:row>
    <x:row r="38" ht="22" customHeight="1">
      <x:c r="A38" s="129"/>
      <x:c r="B38" s="130"/>
      <x:c r="C38" s="129"/>
      <x:c r="D38" s="130"/>
      <x:c r="E38" s="129"/>
      <x:c r="F38" s="130"/>
      <x:c r="G38" s="129"/>
      <x:c r="H38" s="130"/>
      <x:c r="I38" s="129"/>
      <x:c r="J38" s="130"/>
    </x:row>
    <x:row r="40" ht="24" customHeight="1">
      <x:c r="A40" s="168" t="str">
        <x:v>Week 6 · 2026-11-02 to 2026-11-06 · Product acceptance</x:v>
      </x:c>
      <x:c r="B40" s="169"/>
      <x:c r="C40" s="169"/>
      <x:c r="D40" s="169"/>
      <x:c r="E40" s="169"/>
      <x:c r="F40" s="169"/>
      <x:c r="G40" s="169"/>
      <x:c r="H40" s="169"/>
      <x:c r="I40" s="169"/>
      <x:c r="J40" s="170"/>
    </x:row>
    <x:row r="41" ht="24" customHeight="1">
      <x:c r="A41" s="109" t="str">
        <x:v>Mon 2 Nov</x:v>
      </x:c>
      <x:c r="B41" s="110"/>
      <x:c r="C41" s="109" t="str">
        <x:v>Tue 3 Nov</x:v>
      </x:c>
      <x:c r="D41" s="110"/>
      <x:c r="E41" s="109" t="str">
        <x:v>Wed 4 Nov</x:v>
      </x:c>
      <x:c r="F41" s="110"/>
      <x:c r="G41" s="109" t="str">
        <x:v>Thu 5 Nov</x:v>
      </x:c>
      <x:c r="H41" s="110"/>
      <x:c r="I41" s="109" t="str">
        <x:v>Fri 6 Nov</x:v>
      </x:c>
      <x:c r="J41" s="110"/>
    </x:row>
    <x:row r="42" ht="22" customHeight="1">
      <x:c r="A42" s="125" t="str">
        <x:v>Test the rebuilt Map Builder using the owner acceptance checklist.</x:v>
      </x:c>
      <x:c r="B42" s="126"/>
      <x:c r="C42" s="125" t="str">
        <x:v>Perform one realistic large-project session across every core workspace.</x:v>
      </x:c>
      <x:c r="D42" s="126"/>
      <x:c r="E42" s="125" t="str">
        <x:v>Test each AI provider you intend to advertise; remove any provider you cannot verify.</x:v>
      </x:c>
      <x:c r="F42" s="126"/>
      <x:c r="G42" s="125" t="str">
        <x:v>Perform the guided phone, tablet, desktop, and accessibility pass.</x:v>
      </x:c>
      <x:c r="H42" s="126"/>
      <x:c r="I42" s="125" t="str">
        <x:v>Approve the feature-completeness report or remove an unready promise from launch.</x:v>
      </x:c>
      <x:c r="J42" s="126"/>
    </x:row>
    <x:row r="43" ht="22" customHeight="1">
      <x:c r="A43" s="127"/>
      <x:c r="B43" s="128"/>
      <x:c r="C43" s="127"/>
      <x:c r="D43" s="128"/>
      <x:c r="E43" s="127"/>
      <x:c r="F43" s="128"/>
      <x:c r="G43" s="127"/>
      <x:c r="H43" s="128"/>
      <x:c r="I43" s="127"/>
      <x:c r="J43" s="128"/>
    </x:row>
    <x:row r="44" ht="22" customHeight="1">
      <x:c r="A44" s="127"/>
      <x:c r="B44" s="128"/>
      <x:c r="C44" s="127"/>
      <x:c r="D44" s="128"/>
      <x:c r="E44" s="127"/>
      <x:c r="F44" s="128"/>
      <x:c r="G44" s="127"/>
      <x:c r="H44" s="128"/>
      <x:c r="I44" s="127"/>
      <x:c r="J44" s="128"/>
    </x:row>
    <x:row r="45" ht="22" customHeight="1">
      <x:c r="A45" s="129"/>
      <x:c r="B45" s="130"/>
      <x:c r="C45" s="129"/>
      <x:c r="D45" s="130"/>
      <x:c r="E45" s="129"/>
      <x:c r="F45" s="130"/>
      <x:c r="G45" s="129"/>
      <x:c r="H45" s="130"/>
      <x:c r="I45" s="129"/>
      <x:c r="J45" s="130"/>
    </x:row>
    <x:row r="47" ht="24" customHeight="1">
      <x:c r="A47" s="176" t="str">
        <x:v>Week 7 · 2026-11-09 to 2026-11-13 · Legal and release candidate</x:v>
      </x:c>
      <x:c r="B47" s="177"/>
      <x:c r="C47" s="177"/>
      <x:c r="D47" s="177"/>
      <x:c r="E47" s="177"/>
      <x:c r="F47" s="177"/>
      <x:c r="G47" s="177"/>
      <x:c r="H47" s="177"/>
      <x:c r="I47" s="177"/>
      <x:c r="J47" s="178"/>
    </x:row>
    <x:row r="48" ht="24" customHeight="1">
      <x:c r="A48" s="109" t="str">
        <x:v>Mon 9 Nov</x:v>
      </x:c>
      <x:c r="B48" s="110"/>
      <x:c r="C48" s="109" t="str">
        <x:v>Tue 10 Nov</x:v>
      </x:c>
      <x:c r="D48" s="110"/>
      <x:c r="E48" s="109" t="str">
        <x:v>Wed 11 Nov</x:v>
      </x:c>
      <x:c r="F48" s="110"/>
      <x:c r="G48" s="109" t="str">
        <x:v>Thu 12 Nov</x:v>
      </x:c>
      <x:c r="H48" s="110"/>
      <x:c r="I48" s="109" t="str">
        <x:v>Fri 13 Nov</x:v>
      </x:c>
      <x:c r="J48" s="110"/>
    </x:row>
    <x:row r="49" ht="22" customHeight="1">
      <x:c r="A49" s="125" t="str">
        <x:v>Read Pricing, FAQ, Terms, Privacy, cancellation, storage, Local Mode, Founder, AI, and export copy as a customer.</x:v>
      </x:c>
      <x:c r="B49" s="126"/>
      <x:c r="C49" s="125" t="str">
        <x:v>Approve final copy and business identity and contact details.</x:v>
      </x:c>
      <x:c r="D49" s="126"/>
      <x:c r="E49" s="125" t="str">
        <x:v>Work through the guided Stripe test-mode checklist one dashboard step at a time.</x:v>
      </x:c>
      <x:c r="F49" s="126"/>
      <x:c r="G49" s="125" t="str">
        <x:v>Approve beta-graduation email, launch announcement, pricing message, screenshots, and support template.</x:v>
      </x:c>
      <x:c r="H49" s="126"/>
      <x:c r="I49" s="125" t="str">
        <x:v>Hold the formal go or no-go review and say go only if every hard gate has evidence.</x:v>
      </x:c>
      <x:c r="J49" s="126"/>
    </x:row>
    <x:row r="50" ht="22" customHeight="1">
      <x:c r="A50" s="127"/>
      <x:c r="B50" s="128"/>
      <x:c r="C50" s="127"/>
      <x:c r="D50" s="128"/>
      <x:c r="E50" s="127"/>
      <x:c r="F50" s="128"/>
      <x:c r="G50" s="127"/>
      <x:c r="H50" s="128"/>
      <x:c r="I50" s="127"/>
      <x:c r="J50" s="128"/>
    </x:row>
    <x:row r="51" ht="22" customHeight="1">
      <x:c r="A51" s="127"/>
      <x:c r="B51" s="128"/>
      <x:c r="C51" s="127"/>
      <x:c r="D51" s="128"/>
      <x:c r="E51" s="127"/>
      <x:c r="F51" s="128"/>
      <x:c r="G51" s="127"/>
      <x:c r="H51" s="128"/>
      <x:c r="I51" s="127"/>
      <x:c r="J51" s="128"/>
    </x:row>
    <x:row r="52" ht="22" customHeight="1">
      <x:c r="A52" s="129"/>
      <x:c r="B52" s="130"/>
      <x:c r="C52" s="129"/>
      <x:c r="D52" s="130"/>
      <x:c r="E52" s="129"/>
      <x:c r="F52" s="130"/>
      <x:c r="G52" s="129"/>
      <x:c r="H52" s="130"/>
      <x:c r="I52" s="129"/>
      <x:c r="J52" s="130"/>
    </x:row>
    <x:row r="54" ht="24" customHeight="1">
      <x:c r="A54" s="184" t="str">
        <x:v>Week 8 · 2026-11-16 to 2026-11-20 · Marketing runway 1</x:v>
      </x:c>
      <x:c r="B54" s="185"/>
      <x:c r="C54" s="185"/>
      <x:c r="D54" s="185"/>
      <x:c r="E54" s="185"/>
      <x:c r="F54" s="185"/>
      <x:c r="G54" s="185"/>
      <x:c r="H54" s="185"/>
      <x:c r="I54" s="185"/>
      <x:c r="J54" s="186"/>
    </x:row>
    <x:row r="55" ht="24" customHeight="1">
      <x:c r="A55" s="109" t="str">
        <x:v>Mon 16 Nov</x:v>
      </x:c>
      <x:c r="B55" s="110"/>
      <x:c r="C55" s="109" t="str">
        <x:v>Tue 17 Nov</x:v>
      </x:c>
      <x:c r="D55" s="110"/>
      <x:c r="E55" s="109" t="str">
        <x:v>Wed 18 Nov</x:v>
      </x:c>
      <x:c r="F55" s="110"/>
      <x:c r="G55" s="109" t="str">
        <x:v>Thu 19 Nov</x:v>
      </x:c>
      <x:c r="H55" s="110"/>
      <x:c r="I55" s="109" t="str">
        <x:v>Fri 20 Nov</x:v>
      </x:c>
      <x:c r="J55" s="110"/>
    </x:row>
    <x:row r="56" ht="22" customHeight="1">
      <x:c r="A56" s="125" t="str">
        <x:v>If go, approve closing new Beta enrollment and removing Beta from public plan choices.</x:v>
      </x:c>
      <x:c r="B56" s="126"/>
      <x:c r="C56" s="125" t="str">
        <x:v>Email existing Beta testers with launch timing, retained access, notice path, and backup steps.</x:v>
      </x:c>
      <x:c r="D56" s="126"/>
      <x:c r="E56" s="125" t="str">
        <x:v>Publish the 30 November launch announcement and updated marketing pages.</x:v>
      </x:c>
      <x:c r="F56" s="126"/>
      <x:c r="G56" s="125" t="str">
        <x:v>Test the signed-out visitor journey on phone and desktop.</x:v>
      </x:c>
      <x:c r="H56" s="126"/>
      <x:c r="I56" s="125" t="str">
        <x:v>Review interest, tester replies, support load, and analytics; approve copy-only corrections.</x:v>
      </x:c>
      <x:c r="J56" s="126"/>
    </x:row>
    <x:row r="57" ht="22" customHeight="1">
      <x:c r="A57" s="127"/>
      <x:c r="B57" s="128"/>
      <x:c r="C57" s="127"/>
      <x:c r="D57" s="128"/>
      <x:c r="E57" s="127"/>
      <x:c r="F57" s="128"/>
      <x:c r="G57" s="127"/>
      <x:c r="H57" s="128"/>
      <x:c r="I57" s="127"/>
      <x:c r="J57" s="128"/>
    </x:row>
    <x:row r="58" ht="22" customHeight="1">
      <x:c r="A58" s="127"/>
      <x:c r="B58" s="128"/>
      <x:c r="C58" s="127"/>
      <x:c r="D58" s="128"/>
      <x:c r="E58" s="127"/>
      <x:c r="F58" s="128"/>
      <x:c r="G58" s="127"/>
      <x:c r="H58" s="128"/>
      <x:c r="I58" s="127"/>
      <x:c r="J58" s="128"/>
    </x:row>
    <x:row r="59" ht="22" customHeight="1">
      <x:c r="A59" s="129"/>
      <x:c r="B59" s="130"/>
      <x:c r="C59" s="129"/>
      <x:c r="D59" s="130"/>
      <x:c r="E59" s="129"/>
      <x:c r="F59" s="130"/>
      <x:c r="G59" s="129"/>
      <x:c r="H59" s="130"/>
      <x:c r="I59" s="129"/>
      <x:c r="J59" s="130"/>
    </x:row>
    <x:row r="61" ht="24" customHeight="1">
      <x:c r="A61" s="192" t="str">
        <x:v>Week 9 · 2026-11-23 to 2026-11-27 · Marketing runway 2</x:v>
      </x:c>
      <x:c r="B61" s="193"/>
      <x:c r="C61" s="193"/>
      <x:c r="D61" s="193"/>
      <x:c r="E61" s="193"/>
      <x:c r="F61" s="193"/>
      <x:c r="G61" s="193"/>
      <x:c r="H61" s="193"/>
      <x:c r="I61" s="193"/>
      <x:c r="J61" s="194"/>
    </x:row>
    <x:row r="62" ht="24" customHeight="1">
      <x:c r="A62" s="109" t="str">
        <x:v>Mon 23 Nov</x:v>
      </x:c>
      <x:c r="B62" s="110"/>
      <x:c r="C62" s="109" t="str">
        <x:v>Tue 24 Nov</x:v>
      </x:c>
      <x:c r="D62" s="110"/>
      <x:c r="E62" s="109" t="str">
        <x:v>Wed 25 Nov</x:v>
      </x:c>
      <x:c r="F62" s="110"/>
      <x:c r="G62" s="109" t="str">
        <x:v>Thu 26 Nov</x:v>
      </x:c>
      <x:c r="H62" s="110"/>
      <x:c r="I62" s="109" t="str">
        <x:v>Fri 27 Nov</x:v>
      </x:c>
      <x:c r="J62" s="110"/>
    </x:row>
    <x:row r="63" ht="22" customHeight="1">
      <x:c r="A63" s="125" t="str">
        <x:v>Publish the main use-case story and demonstrate one complete writer workflow.</x:v>
      </x:c>
      <x:c r="B63" s="126"/>
      <x:c r="C63" s="125" t="str">
        <x:v>Publish the ownership, export, Local Mode, and desktop message.</x:v>
      </x:c>
      <x:c r="D63" s="126"/>
      <x:c r="E63" s="125" t="str">
        <x:v>Publish project-type examples and confirm all six are described honestly.</x:v>
      </x:c>
      <x:c r="F63" s="126"/>
      <x:c r="G63" s="125" t="str">
        <x:v>Review the support runbook, refunds, cancellation, incident contacts, and rollback triggers.</x:v>
      </x:c>
      <x:c r="H63" s="126"/>
      <x:c r="I63" s="125" t="str">
        <x:v>Perform the final guided purchase rehearsal and sign the launch checklist.</x:v>
      </x:c>
      <x:c r="J63" s="126"/>
    </x:row>
    <x:row r="64" ht="22" customHeight="1">
      <x:c r="A64" s="127"/>
      <x:c r="B64" s="128"/>
      <x:c r="C64" s="127"/>
      <x:c r="D64" s="128"/>
      <x:c r="E64" s="127"/>
      <x:c r="F64" s="128"/>
      <x:c r="G64" s="127"/>
      <x:c r="H64" s="128"/>
      <x:c r="I64" s="127"/>
      <x:c r="J64" s="128"/>
    </x:row>
    <x:row r="65" ht="22" customHeight="1">
      <x:c r="A65" s="127"/>
      <x:c r="B65" s="128"/>
      <x:c r="C65" s="127"/>
      <x:c r="D65" s="128"/>
      <x:c r="E65" s="127"/>
      <x:c r="F65" s="128"/>
      <x:c r="G65" s="127"/>
      <x:c r="H65" s="128"/>
      <x:c r="I65" s="127"/>
      <x:c r="J65" s="128"/>
    </x:row>
    <x:row r="66" ht="22" customHeight="1">
      <x:c r="A66" s="129"/>
      <x:c r="B66" s="130"/>
      <x:c r="C66" s="129"/>
      <x:c r="D66" s="130"/>
      <x:c r="E66" s="129"/>
      <x:c r="F66" s="130"/>
      <x:c r="G66" s="129"/>
      <x:c r="H66" s="130"/>
      <x:c r="I66" s="129"/>
      <x:c r="J66" s="130"/>
    </x:row>
    <x:row r="68" ht="24" customHeight="1">
      <x:c r="A68" s="200" t="str">
        <x:v>Week 10 · 2026-11-30 to 2026-11-30 · Launch</x:v>
      </x:c>
      <x:c r="B68" s="201"/>
      <x:c r="C68" s="201"/>
      <x:c r="D68" s="201"/>
      <x:c r="E68" s="201"/>
      <x:c r="F68" s="201"/>
      <x:c r="G68" s="201"/>
      <x:c r="H68" s="201"/>
      <x:c r="I68" s="201"/>
      <x:c r="J68" s="202"/>
    </x:row>
    <x:row r="69" ht="24" customHeight="1">
      <x:c r="A69" s="109" t="str">
        <x:v>Mon 30 Nov</x:v>
      </x:c>
      <x:c r="B69" s="110"/>
      <x:c r="C69" s="109" t="str"/>
      <x:c r="D69" s="110"/>
      <x:c r="E69" s="109" t="str"/>
      <x:c r="F69" s="110"/>
      <x:c r="G69" s="109" t="str"/>
      <x:c r="H69" s="110"/>
      <x:c r="I69" s="109" t="str"/>
      <x:c r="J69" s="110"/>
    </x:row>
    <x:row r="70" ht="22" customHeight="1">
      <x:c r="A70" s="125" t="str">
        <x:v>Approve the production checkout switch, announce launch, and monitor transactions and support.</x:v>
      </x:c>
      <x:c r="B70" s="126"/>
      <x:c r="C70" s="217" t="str"/>
      <x:c r="D70" s="218"/>
      <x:c r="E70" s="217" t="str"/>
      <x:c r="F70" s="218"/>
      <x:c r="G70" s="217" t="str"/>
      <x:c r="H70" s="218"/>
      <x:c r="I70" s="217" t="str"/>
      <x:c r="J70" s="218"/>
    </x:row>
    <x:row r="71" ht="22" customHeight="1">
      <x:c r="A71" s="127"/>
      <x:c r="B71" s="128"/>
      <x:c r="C71" s="219"/>
      <x:c r="D71" s="220"/>
      <x:c r="E71" s="219"/>
      <x:c r="F71" s="220"/>
      <x:c r="G71" s="219"/>
      <x:c r="H71" s="220"/>
      <x:c r="I71" s="219"/>
      <x:c r="J71" s="220"/>
    </x:row>
    <x:row r="72" ht="22" customHeight="1">
      <x:c r="A72" s="127"/>
      <x:c r="B72" s="128"/>
      <x:c r="C72" s="219"/>
      <x:c r="D72" s="220"/>
      <x:c r="E72" s="219"/>
      <x:c r="F72" s="220"/>
      <x:c r="G72" s="219"/>
      <x:c r="H72" s="220"/>
      <x:c r="I72" s="219"/>
      <x:c r="J72" s="220"/>
    </x:row>
    <x:row r="73" ht="22" customHeight="1">
      <x:c r="A73" s="129"/>
      <x:c r="B73" s="130"/>
      <x:c r="C73" s="221"/>
      <x:c r="D73" s="222"/>
      <x:c r="E73" s="221"/>
      <x:c r="F73" s="222"/>
      <x:c r="G73" s="221"/>
      <x:c r="H73" s="222"/>
      <x:c r="I73" s="221"/>
      <x:c r="J73" s="222"/>
    </x:row>
  </x:sheetData>
  <x:mergeCells>
    <x:mergeCell ref="A2:J2"/>
    <x:mergeCell ref="A3:J3"/>
    <x:mergeCell ref="A5:J5"/>
    <x:mergeCell ref="A6:B6"/>
    <x:mergeCell ref="A7:B10"/>
    <x:mergeCell ref="C6:D6"/>
    <x:mergeCell ref="C7:D10"/>
    <x:mergeCell ref="E6:F6"/>
    <x:mergeCell ref="E7:F10"/>
    <x:mergeCell ref="G6:H6"/>
    <x:mergeCell ref="G7:H10"/>
    <x:mergeCell ref="I6:J6"/>
    <x:mergeCell ref="I7:J10"/>
    <x:mergeCell ref="A12:J12"/>
    <x:mergeCell ref="A13:B13"/>
    <x:mergeCell ref="A14:B17"/>
    <x:mergeCell ref="C13:D13"/>
    <x:mergeCell ref="C14:D17"/>
    <x:mergeCell ref="E13:F13"/>
    <x:mergeCell ref="E14:F17"/>
    <x:mergeCell ref="G13:H13"/>
    <x:mergeCell ref="G14:H17"/>
    <x:mergeCell ref="I13:J13"/>
    <x:mergeCell ref="I14:J17"/>
    <x:mergeCell ref="A19:J19"/>
    <x:mergeCell ref="A20:B20"/>
    <x:mergeCell ref="A21:B24"/>
    <x:mergeCell ref="C20:D20"/>
    <x:mergeCell ref="C21:D24"/>
    <x:mergeCell ref="E20:F20"/>
    <x:mergeCell ref="E21:F24"/>
    <x:mergeCell ref="G20:H20"/>
    <x:mergeCell ref="G21:H24"/>
    <x:mergeCell ref="I20:J20"/>
    <x:mergeCell ref="I21:J24"/>
    <x:mergeCell ref="A26:J26"/>
    <x:mergeCell ref="A27:B27"/>
    <x:mergeCell ref="A28:B31"/>
    <x:mergeCell ref="C27:D27"/>
    <x:mergeCell ref="C28:D31"/>
    <x:mergeCell ref="E27:F27"/>
    <x:mergeCell ref="E28:F31"/>
    <x:mergeCell ref="G27:H27"/>
    <x:mergeCell ref="G28:H31"/>
    <x:mergeCell ref="I27:J27"/>
    <x:mergeCell ref="I28:J31"/>
    <x:mergeCell ref="A33:J33"/>
    <x:mergeCell ref="A34:B34"/>
    <x:mergeCell ref="A35:B38"/>
    <x:mergeCell ref="C34:D34"/>
    <x:mergeCell ref="C35:D38"/>
    <x:mergeCell ref="E34:F34"/>
    <x:mergeCell ref="E35:F38"/>
    <x:mergeCell ref="G34:H34"/>
    <x:mergeCell ref="G35:H38"/>
    <x:mergeCell ref="I34:J34"/>
    <x:mergeCell ref="I35:J38"/>
    <x:mergeCell ref="A40:J40"/>
    <x:mergeCell ref="A41:B41"/>
    <x:mergeCell ref="A42:B45"/>
    <x:mergeCell ref="C41:D41"/>
    <x:mergeCell ref="C42:D45"/>
    <x:mergeCell ref="E41:F41"/>
    <x:mergeCell ref="E42:F45"/>
    <x:mergeCell ref="G41:H41"/>
    <x:mergeCell ref="G42:H45"/>
    <x:mergeCell ref="I41:J41"/>
    <x:mergeCell ref="I42:J45"/>
    <x:mergeCell ref="A47:J47"/>
    <x:mergeCell ref="A48:B48"/>
    <x:mergeCell ref="A49:B52"/>
    <x:mergeCell ref="C48:D48"/>
    <x:mergeCell ref="C49:D52"/>
    <x:mergeCell ref="E48:F48"/>
    <x:mergeCell ref="E49:F52"/>
    <x:mergeCell ref="G48:H48"/>
    <x:mergeCell ref="G49:H52"/>
    <x:mergeCell ref="I48:J48"/>
    <x:mergeCell ref="I49:J52"/>
    <x:mergeCell ref="A54:J54"/>
    <x:mergeCell ref="A55:B55"/>
    <x:mergeCell ref="A56:B59"/>
    <x:mergeCell ref="C55:D55"/>
    <x:mergeCell ref="C56:D59"/>
    <x:mergeCell ref="E55:F55"/>
    <x:mergeCell ref="E56:F59"/>
    <x:mergeCell ref="G55:H55"/>
    <x:mergeCell ref="G56:H59"/>
    <x:mergeCell ref="I55:J55"/>
    <x:mergeCell ref="I56:J59"/>
    <x:mergeCell ref="A61:J61"/>
    <x:mergeCell ref="A62:B62"/>
    <x:mergeCell ref="A63:B66"/>
    <x:mergeCell ref="C62:D62"/>
    <x:mergeCell ref="C63:D66"/>
    <x:mergeCell ref="E62:F62"/>
    <x:mergeCell ref="E63:F66"/>
    <x:mergeCell ref="G62:H62"/>
    <x:mergeCell ref="G63:H66"/>
    <x:mergeCell ref="I62:J62"/>
    <x:mergeCell ref="I63:J66"/>
    <x:mergeCell ref="A68:J68"/>
    <x:mergeCell ref="A69:B69"/>
    <x:mergeCell ref="A70:B73"/>
    <x:mergeCell ref="C69:D69"/>
    <x:mergeCell ref="C70:D73"/>
    <x:mergeCell ref="E69:F69"/>
    <x:mergeCell ref="E70:F73"/>
    <x:mergeCell ref="G69:H69"/>
    <x:mergeCell ref="G70:H73"/>
    <x:mergeCell ref="I69:J69"/>
    <x:mergeCell ref="I70:J73"/>
  </x:mergeCells>
  <x:pageMargins left="0.7" right="0.7" top="0.75" bottom="0.75" header="0.3" footer="0.3"/>
</x:worksheet>
</file>
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1.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o Now" sheetId="2" state="visible" r:id="rId4"/>
    <sheet name="Plan from 1 Oct" sheetId="3" state="visible" r:id="rId5"/>
    <sheet name="Daily Guide" sheetId="4" state="visible" r:id="rId6"/>
    <sheet name="Calendar" sheetId="5" state="visible" r:id="rId7"/>
    <sheet name="Glossary" sheetId="6" state="visible" r:id="rId8"/>
    <sheet name="Roadmap Map" sheetId="7" state="visible" r:id="rId9"/>
    <sheet name="Owner Overflow" sheetId="8" state="visible" r:id="rId10"/>
    <sheet name="Decisions" sheetId="9" state="visible" r:id="rId11"/>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<sst xmlns="http://schemas.openxmlformats.org/spreadsheetml/2006/main" count="1416" uniqueCount="754">
  <si>
    <t xml:space="preserve">YOW November launch sprint — start here</t>
  </si>
  <si>
    <t xml:space="preserve">Quiet release Sunday 1 November · public launch and marketing Monday 2 November</t>
  </si>
  <si>
    <t xml:space="preserve">The basic routine</t>
  </si>
  <si>
    <t xml:space="preserve">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</si>
  <si>
    <t xml:space="preserve">Your non-negotiable time limits</t>
  </si>
  <si>
    <t xml:space="preserve">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</si>
  <si>
    <t xml:space="preserve">How to use the Daily Guide</t>
  </si>
  <si>
    <t xml:space="preserve">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</si>
  <si>
    <t xml:space="preserve">Safety rules</t>
  </si>
  <si>
    <t xml:space="preserve">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</si>
  <si>
    <t xml:space="preserve">Beta closure and launch</t>
  </si>
  <si>
    <t xml:space="preserve">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</si>
  <si>
    <t xml:space="preserve">If something fails</t>
  </si>
  <si>
    <t xml:space="preserve">A failed auth, data-loss, save, export, desktop, legal, payment, or release-candidate gate moves launch. That is a safety decision, not a personal failure. Record the evidence, stop safely, and let AI prepare the repair. Cosmetic polish and new ideas wait until after launch.</t>
  </si>
  <si>
    <t xml:space="preserve">Import the calendar</t>
  </si>
  <si>
    <t xml:space="preserve">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</si>
  <si>
    <t xml:space="preserve">Updated 30 September: work starts 1 October. Use 'Do Now' first, then 'Plan from 1 Oct' as your daily sheet. Daily Guide rows after 6 Oct are marked Moved. Overflow checks are scheduled inside your daily caps; decisions D1-D8 accepted 30 Sep (AI providers: OpenRouter and OpenAI only).</t>
  </si>
  <si>
    <t xml:space="preserve">Do now — things you can do before the AI has prepared anything. About 1 hour in total, in any order, fitted around your day.</t>
  </si>
  <si>
    <t xml:space="preserve">Never paste passwords, API keys or recovery codes. Never use the owner/admin account for tests. Stop if a screen differs from the steps and tell me exactly what you see.</t>
  </si>
  <si>
    <t xml:space="preserve">#</t>
  </si>
  <si>
    <t xml:space="preserve">Task</t>
  </si>
  <si>
    <t xml:space="preserve">Steps</t>
  </si>
  <si>
    <t xml:space="preserve">Needs</t>
  </si>
  <si>
    <t xml:space="preserve">Sheet ref</t>
  </si>
  <si>
    <t xml:space="preserve">1</t>
  </si>
  <si>
    <t xml:space="preserve">Decisions - DONE 30 Sep</t>
  </si>
  <si>
    <t xml:space="preserve">All defaults accepted; AI providers limited to OpenRouter and OpenAI (D5).</t>
  </si>
  <si>
    <t xml:space="preserve">Nothing to do</t>
  </si>
  <si>
    <t xml:space="preserve">Decisions</t>
  </si>
  <si>
    <t xml:space="preserve">2</t>
  </si>
  <si>
    <t xml:space="preserve">O14 Support inbox test - DONE 30 Sep</t>
  </si>
  <si>
    <t xml:space="preserve">Both emails arrived. The reply showed as 'Morgan Bishop, yourownworld.admin@gmail.com' rather than support@ / founders@. Follow-up is task 6.</t>
  </si>
  <si>
    <t xml:space="preserve">Done</t>
  </si>
  <si>
    <t xml:space="preserve">O14</t>
  </si>
  <si>
    <t xml:space="preserve">3</t>
  </si>
  <si>
    <t xml:space="preserve">O02 Leaked-password protection - DONE 30 Sep</t>
  </si>
  <si>
    <t xml:space="preserve">Not offered on your current Supabase plan, so it stays as a known Advisor warning. The AI will check your minimum password rules on 9 Oct instead. Do not upgrade the plan for this.</t>
  </si>
  <si>
    <t xml:space="preserve">O02</t>
  </si>
  <si>
    <t xml:space="preserve">4</t>
  </si>
  <si>
    <t xml:space="preserve">O06 Windows machine - DONE 30 Sep</t>
  </si>
  <si>
    <t xml:space="preserve">You have a real Windows PC with admin rights. Quick extra: press the Windows key + R, type winver, press Enter, and note the Windows version shown (then close the box). Tell me whenever convenient, before 17 Oct. Do not install anything yet.</t>
  </si>
  <si>
    <t xml:space="preserve">O06</t>
  </si>
  <si>
    <t xml:space="preserve">5</t>
  </si>
  <si>
    <t xml:space="preserve">O01 Fresh-account walkthrough - DONE 30 Sep (owner-attested)</t>
  </si>
  <si>
    <t xml:space="preserve">You have run this many times, so it is recorded as passed on your word. No formal evidence was saved; if a fresh-account problem ever shows up we will reopen it.</t>
  </si>
  <si>
    <t xml:space="preserve">O01</t>
  </si>
  <si>
    <t xml:space="preserve">6</t>
  </si>
  <si>
    <t xml:space="preserve">O16 Replies show the YOW address (about 20 min)</t>
  </si>
  <si>
    <t xml:space="preserve">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</si>
  <si>
    <t xml:space="preserve">Resend dashboard + Gmail settings</t>
  </si>
  <si>
    <t xml:space="preserve">O16</t>
  </si>
  <si>
    <t xml:space="preserve">7</t>
  </si>
  <si>
    <t xml:space="preserve">Check the new exports - DONE 2 Oct</t>
  </si>
  <si>
    <t xml:space="preserve">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t>
  </si>
  <si>
    <t xml:space="preserve">Plan from 1 Oct, 2 Oct</t>
  </si>
  <si>
    <t xml:space="preserve">YOW launch plan from 1 October — every open roadmap item scheduled; owner overflow fits inside the day caps. Launch still Sun 1 Nov (quiet) / Mon 2 Nov (public).</t>
  </si>
  <si>
    <t xml:space="preserve">AI work is uncapped and runs from the daily 07:15 handoff. Your time: weekday 10 min + evening cap, weekend 15 min + up to 3 h 45 min. Do not paste secrets. A failed hard gate moves the date. Status: Not started / In progress / Done / Blocked.</t>
  </si>
  <si>
    <t xml:space="preserve">Tasks</t>
  </si>
  <si>
    <t xml:space="preserve">Date</t>
  </si>
  <si>
    <t xml:space="preserve">Day</t>
  </si>
  <si>
    <t xml:space="preserve">Phase</t>
  </si>
  <si>
    <t xml:space="preserve">AI assignment (AI does this)</t>
  </si>
  <si>
    <t xml:space="preserve">Also close today (AI does this)</t>
  </si>
  <si>
    <t xml:space="preserve">Your task (guided, one step at a time)</t>
  </si>
  <si>
    <t xml:space="preserve">Your time cap</t>
  </si>
  <si>
    <t xml:space="preserve">Extra owner items today (Owner Overflow)</t>
  </si>
  <si>
    <t xml:space="preserve">Spare owner minutes</t>
  </si>
  <si>
    <t xml:space="preserve">Hard gate?</t>
  </si>
  <si>
    <t xml:space="preserve">Status</t>
  </si>
  <si>
    <t xml:space="preserve">Notes / evidence</t>
  </si>
  <si>
    <t xml:space="preserve">From original plan date</t>
  </si>
  <si>
    <t xml:space="preserve">Thu</t>
  </si>
  <si>
    <t xml:space="preserve">Cloud &amp; security</t>
  </si>
  <si>
    <t xml:space="preserve">Finish the cloud-expiry/inactive-account lifecycle implementation and tests: notices, Export All, grace, archive/delete, and cloud-write shutdown.</t>
  </si>
  <si>
    <t xml:space="preserve">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</si>
  <si>
    <t xml:space="preserve">Review the customer-visible sequence and approve the exact wording.</t>
  </si>
  <si>
    <t xml:space="preserve">10 min + 75 min</t>
  </si>
  <si>
    <t xml:space="preserve">—</t>
  </si>
  <si>
    <t xml:space="preserve">Yes</t>
  </si>
  <si>
    <t xml:space="preserve">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</si>
  <si>
    <t xml:space="preserve">2026-10-07</t>
  </si>
  <si>
    <t xml:space="preserve">Blocked</t>
  </si>
  <si>
    <t xml:space="preserve">Fri</t>
  </si>
  <si>
    <t xml:space="preserve">Run complete ZIP/DOCX/PDF/World Bible ownership and privacy checks, including expiry access and readable output inspection.</t>
  </si>
  <si>
    <t xml:space="preserve">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</si>
  <si>
    <t xml:space="preserve">Open the generated files and confirm the expected content is present and private data is absent where promised.</t>
  </si>
  <si>
    <t xml:space="preserve">10 min + 90 min</t>
  </si>
  <si>
    <t xml:space="preserve">Done 2026-10-02. Owner re-checked the new exports (Graphic Novel PDF, D&amp;D Word ZIP, character sheet PDF) on 2 Oct and confirmed they look good. Fixed and merged (PR #247): Graphic Novel PDF has comic pages, panel text and page/panel images; D&amp;D Word export keeps each encounter's full text in the Campaign Sessions file; party character sheet PDF added. Six-project-type export privacy matrix test merged (PR #249). D&amp;D Campaign renamed 5E Campaign in user-facing copy (PR #250).</t>
  </si>
  <si>
    <t xml:space="preserve">2026-10-08</t>
  </si>
  <si>
    <t xml:space="preserve">Progress</t>
  </si>
  <si>
    <t xml:space="preserve">Sat</t>
  </si>
  <si>
    <t xml:space="preserve">Retrieve or document the missing production function definitions, close reproducible database-build gaps, and rerun database checks.</t>
  </si>
  <si>
    <t xml:space="preserve">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</si>
  <si>
    <t xml:space="preserve">Provide guided production access only if needed; review the database continuity result. Also (O17): create the two Free test accounts and run the deletion end-to-end test using the AI's SQL (about 60 min).</t>
  </si>
  <si>
    <t xml:space="preserve">15 min + up to 3 h 45 min</t>
  </si>
  <si>
    <t xml:space="preserve">O03, O16, O17</t>
  </si>
  <si>
    <t xml:space="preserve">Not started</t>
  </si>
  <si>
    <t xml:space="preserve">O17 (Free-account deletion end-to-end) already done and passed on 2 Oct. See Owner Overflow O17 and docs/QA_PLAN.md. Remaining 3 Oct work is the rest of this day's assignment.</t>
  </si>
  <si>
    <t xml:space="preserve">2026-10-09</t>
  </si>
  <si>
    <t xml:space="preserve">Sun</t>
  </si>
  <si>
    <t xml:space="preserve">Run the entire data-safety/auth/export matrix and fix failures in priority order.</t>
  </si>
  <si>
    <t xml:space="preserve">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</si>
  <si>
    <t xml:space="preserve">Perform the remaining real-account checks in two focused blocks; stop at four hours.</t>
  </si>
  <si>
    <t xml:space="preserve">2026-10-10</t>
  </si>
  <si>
    <t xml:space="preserve">Mon</t>
  </si>
  <si>
    <t xml:space="preserve">Use the day as the hard-gate repair buffer, rerun the whole matrix, and produce a signed-off evidence summary.</t>
  </si>
  <si>
    <t xml:space="preserve">1. Data safety gate and Export ownership gate: write each gate's evidence summary; move a gate to Passed only with evidence, otherwise list the exact remaining blocker</t>
  </si>
  <si>
    <t xml:space="preserve">Review the summary. Mark the gate Done only if no data-loss/auth/export blocker remains.</t>
  </si>
  <si>
    <t xml:space="preserve">10 min + 110 min</t>
  </si>
  <si>
    <t xml:space="preserve">O04, O05</t>
  </si>
  <si>
    <t xml:space="preserve">2026-10-11</t>
  </si>
  <si>
    <t xml:space="preserve">Tue</t>
  </si>
  <si>
    <t xml:space="preserve">Desktop</t>
  </si>
  <si>
    <t xml:space="preserve">Implement/finish the full signed-in Tauri project workspace and run desktop unit/Rust/build checks.</t>
  </si>
  <si>
    <t xml:space="preserve">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Full Lifetime desktop workspace and device list work; Free and Monthly cannot download or activate the desktop app</t>
  </si>
  <si>
    <t xml:space="preserve">Open the Mac test build with a Lifetime test account and verify login, library, project navigation, and writing.</t>
  </si>
  <si>
    <t xml:space="preserve">10 min + 100 min</t>
  </si>
  <si>
    <t xml:space="preserve">In progress</t>
  </si>
  <si>
    <t xml:space="preserve">Partial evidence 5 Oct 2026: Monthly desktop access was removed from membership, pricing, downloads, cached entitlement and the server device API. Monthly download/device checks now reject access. Focused billing/entitlement tests passed 128/128; full Vitest passed 162 files / 1,563 tests, with zero lint errors and a production build. Packaged Mac/Windows and real-device Lifetime workspace checks remain.</t>
  </si>
  <si>
    <t xml:space="preserve">2026-10-12</t>
  </si>
  <si>
    <t xml:space="preserve">Wed</t>
  </si>
  <si>
    <t xml:space="preserve">Stress the desktop vault: write-behind durability, quit/force-quit, snapshot, restore, relocation, integrity, and disk-error handling.</t>
  </si>
  <si>
    <t xml:space="preserve">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</si>
  <si>
    <t xml:space="preserve">Run the guided vault persistence and restore test with an isolated test vault.</t>
  </si>
  <si>
    <t xml:space="preserve">2026-10-13</t>
  </si>
  <si>
    <t xml:space="preserve">Verify and repair native ZIP/DOCX/PDF/PNG save dialogs and file contents in packaged desktop builds.</t>
  </si>
  <si>
    <t xml:space="preserve">1. Map PNG export and rendered exports from the packaged desktop build (alongside ZIP/DOCX/PDF save dialogs)</t>
  </si>
  <si>
    <t xml:space="preserve">Save and open each format from the packaged Mac app.</t>
  </si>
  <si>
    <t xml:space="preserve">2026-10-14</t>
  </si>
  <si>
    <t xml:space="preserve">Finish Local Mode/lapse/renewal merge logic, cold-start retry, conflict surfacing, and no-cloud-write verification.</t>
  </si>
  <si>
    <t xml:space="preserve">1. Cloud sync fully removed on lapse; automatic resume on renewal; Storage tab shows only 'Cloud sync unavailable' + renew CTA
2. Renewal checkout (GBP 6 hosting) path from desktop: web cloud-required behaviour, entitlement metadata</t>
  </si>
  <si>
    <t xml:space="preserve">Run the guided lapse → web edit → renewal → desktop merge scenario.</t>
  </si>
  <si>
    <t xml:space="preserve">2026-10-15</t>
  </si>
  <si>
    <t xml:space="preserve">Finalise updater manifests, download entitlement gating, installer URLs, hashes, provenance, and unsigned-app instructions.</t>
  </si>
  <si>
    <t xml:space="preserve">1. Unsigned-app disclosure shown prominently before purchase (Pricing, Download, FAQ, checkout) plus Gatekeeper/SmartScreen bypass steps
2. Updater manifest covers every supported platform/architecture; test bad signature, missing platform, offline, interrupted update</t>
  </si>
  <si>
    <t xml:space="preserve">Review the download page and Mac instructions as a customer.</t>
  </si>
  <si>
    <t xml:space="preserve">O08, O09</t>
  </si>
  <si>
    <t xml:space="preserve">2026-10-16</t>
  </si>
  <si>
    <t xml:space="preserve">Produce and inspect the final Mac candidate; drive clean-machine install, workspace, export, restore, updater, and uninstall acceptance.</t>
  </si>
  <si>
    <t xml:space="preserve">1. Clean-machine Mac: Gatekeeper bypass steps as a customer, install, update from previous release, uninstall leaves vault intact</t>
  </si>
  <si>
    <t xml:space="preserve">Complete the clean/test Mac checklist in two blocks.</t>
  </si>
  <si>
    <t xml:space="preserve">2026-10-17</t>
  </si>
  <si>
    <t xml:space="preserve">Product acceptance</t>
  </si>
  <si>
    <t xml:space="preserve">Run and repair complete Novella and Short Story workflow, defaults, persistence, and export acceptance.</t>
  </si>
  <si>
    <t xml:space="preserve">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</si>
  <si>
    <t xml:space="preserve">Perform the two guided create → write → export journeys.</t>
  </si>
  <si>
    <t xml:space="preserve">2026-10-19</t>
  </si>
  <si>
    <t xml:space="preserve">Run and repair complete D&amp;D and TTRPG prep/recap, Character Builder, map/default, AI-context, and export acceptance.</t>
  </si>
  <si>
    <t xml:space="preserve">1. D&amp;D/TTRPG project-type-aware AI behaviour (DM-side vs GM-side framing): prepare the guided checks; owner runs them with their own AI key on 19 Oct
2. Session prep/recap persistence, default-section visibility and export for both campaign types</t>
  </si>
  <si>
    <t xml:space="preserve">Perform the two guided campaign journeys using disposable campaigns.</t>
  </si>
  <si>
    <t xml:space="preserve">2026-10-20</t>
  </si>
  <si>
    <t xml:space="preserve">Run and repair Novel and Comic live-cloud, large-project, and complete export acceptance.</t>
  </si>
  <si>
    <t xml:space="preserve">1. Local write path / media upload: live-account upload QA well beyond the old 5-10 MB localStorage cap
2. Novel finalised-draft reader and snapshots: multiple snapshots, previous/next, non-novel hiding
3. Comic/Graphic Novel live-Supabase and large-project pass (browser-level QA already passed)</t>
  </si>
  <si>
    <t xml:space="preserve">Perform the guided Novel and Comic journeys.</t>
  </si>
  <si>
    <t xml:space="preserve">2026-10-21</t>
  </si>
  <si>
    <t xml:space="preserve">Run the full Map Builder owner checklist and repair interaction, layer, persistence, responsive, and export defects.</t>
  </si>
  <si>
    <t xml:space="preserve">1. Reliable map builder acceptance: persistence, grid overlay, JSON import/export, restore from ZIP, high-res PNG, undo/redo, all four map types</t>
  </si>
  <si>
    <t xml:space="preserve">Complete the guided map workflow and inspect its exports.</t>
  </si>
  <si>
    <t xml:space="preserve">2026-10-22</t>
  </si>
  <si>
    <t xml:space="preserve">Consolidate remaining Characters, Locations, Lore, Timeline/History, Family/Factions, Series, Schedule, Focused Writing, and AI Import checks.</t>
  </si>
  <si>
    <t xml:space="preserve">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</si>
  <si>
    <t xml:space="preserve">Work through the short owner verification packet; flag only reproducible failures.</t>
  </si>
  <si>
    <t xml:space="preserve">2026-10-23</t>
  </si>
  <si>
    <t xml:space="preserve">Produce the Windows candidate in CI and drive Windows clean-machine/WebView2/install/export/updater/uninstall acceptance; close the Desktop Gate.</t>
  </si>
  <si>
    <t xml:space="preserve">1. Windows: SmartScreen bypass steps, WebView2 install, Explorer reveal, updater, uninstall; close Desktop Gate and the desktop row of the Scope gate</t>
  </si>
  <si>
    <t xml:space="preserve">Complete or coordinate the Windows checklist, then review the combined desktop evidence.</t>
  </si>
  <si>
    <t xml:space="preserve">2026-10-18</t>
  </si>
  <si>
    <t xml:space="preserve">Run realistic large-project performance plus 375/768/desktop, keyboard, focus, contrast, real-iPhone, and theme acceptance; fix blockers.</t>
  </si>
  <si>
    <t xml:space="preserve">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</si>
  <si>
    <t xml:space="preserve">Complete device/accessibility tests in two focused blocks. (includes O10: Firefox, Safari, VoiceOver.)</t>
  </si>
  <si>
    <t xml:space="preserve">2026-10-24</t>
  </si>
  <si>
    <t xml:space="preserve">Test the two advertised AI providers, OpenRouter and OpenAI, with the owner's own keys: context grounding, errors/retry, secret isolation. Label all other providers 'not tested' in the app.</t>
  </si>
  <si>
    <t xml:space="preserve">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</si>
  <si>
    <t xml:space="preserve">Supply OpenRouter and OpenAI access without sharing secrets and run the guided provider checks (includes O07 and the D&amp;D/TTRPG AI framing checks).</t>
  </si>
  <si>
    <t xml:space="preserve">2026-10-25</t>
  </si>
  <si>
    <t xml:space="preserve">Test AI chat persistence and export, then rerun all six project-type exports.</t>
  </si>
  <si>
    <t xml:space="preserve">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</si>
  <si>
    <t xml:space="preserve">Complete the Product Gate review.</t>
  </si>
  <si>
    <t xml:space="preserve">Payments &amp; release</t>
  </si>
  <si>
    <t xml:space="preserve">Reconcile Pricing, FAQ, Terms, Privacy, cancellation, storage, Local Mode, expiry, Founder, AI, export, SEO, and marketing promises.</t>
  </si>
  <si>
    <t xml:space="preserve">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</si>
  <si>
    <t xml:space="preserve">Read the plain-English change packet and approve or correct the final customer promises.</t>
  </si>
  <si>
    <t xml:space="preserve">Partial evidence 5 Oct 2026: Pricing, FAQ, Account Settings and Download copy now agree on Free GBP 0, Monthly GBP 10 browser + Cloud only, Founding Lifetime GBP 50 for purchases 1-100 with two Cloud years, Standard Lifetime GBP 75 with one Cloud year, and optional Cloud at GBP 6/year. Broader Terms, Privacy, SEO, AI-provider and marketing-copy reconciliation remains.</t>
  </si>
  <si>
    <t xml:space="preserve">2026-10-26</t>
  </si>
  <si>
    <t xml:space="preserve">Audit Stripe configuration, webhook idempotency, entitlement fulfilment, refunds/disputes, Founder allocation, and the test-mode runbook.</t>
  </si>
  <si>
    <t xml:space="preserve">1. Durable Stripe event ledger: replay every supported event at least 3 times; entitlements, dates, Founder counts and emails change exactly once
2. Price/entitlement matrix (GBP 10 / 50 / 75 / 6) matches Stripe test Price objects and Checkout line items; Founding Lifetime is limited to successful purchases 1-100 and there is no separate Founder product
3. Remove/migrate the temporary paid-interest 'coming soon' flow and its automatic Beta entitlement; real checkout CTAs behind a launch switch
4. Founding Lifetime concurrency: simultaneous checkout holds and successful payments never award more than 100 Founder positions; purchase 101 uses Standard Lifetime automatically
5. Prepare the exact Vercel test-mode secrets swap and return-to-live checklist (names only, never values)</t>
  </si>
  <si>
    <t xml:space="preserve">Open Stripe/Supabase only when guided and confirm the displayed test configuration.</t>
  </si>
  <si>
    <t xml:space="preserve">In progress 5 Oct 2026. Owner configured Stripe test products/prices, test environment variables and the deployed test webhook. The private direct-link billing page is live. Server-side Price validation and the transaction-locked Founder reservation/finalisation design are implemented and automated tests pass. Still open: live-mode final-position concurrency rehearsal, three-times event replay, refund/dispute handling, and final return-to-live review.</t>
  </si>
  <si>
    <t xml:space="preserve">2026-10-27</t>
  </si>
  <si>
    <t xml:space="preserve">Drive the remaining Stripe test-mode journey one step at a time: Monthly, Founding Lifetime, Standard Lifetime, renewal, cancellation/failure, replay, refund, and dispute.</t>
  </si>
  <si>
    <t xml:space="preserve">1. Completed so far: GBP 10 Monthly, GBP 50 Founding Lifetime, GBP 75 Standard Lifetime, scheduled Monthly cancellation display, and Monthly desktop/download/device rejection
2. Still to test: GBP 6 hosting renewal, checkout cancellation/expiration, failed and async payments, out-of-order webhooks, replay, refund and dispute
3. Live-account QA of the 'Downgrade to Free' fix for manually upgraded accounts and confirmation that the real Stripe portal remains unaffected</t>
  </si>
  <si>
    <t xml:space="preserve">Passed so far, owner-confirmed 5 Oct 2026: test-mode Monthly GBP 10 checkout and browser/Cloud entitlement; Founding Lifetime GBP 50 checkout; Standard Lifetime GBP 75 checkout; Monthly cancellation now reconciles directly with Stripe and shows the cancellation/end date; Monthly has no desktop entitlement. Supporting automated verification: 162 test files / 1,563 tests, zero lint errors, production build, 231-file load check and all 12 API imports. The remaining items in column E keep this row open.</t>
  </si>
  <si>
    <t xml:space="preserve">2026-10-28</t>
  </si>
  <si>
    <t xml:space="preserve">Prepare the reversible Beta-closure/migration operation, final website copy, screenshots, launch post, ads, support replies, and analytics checks without publishing.</t>
  </si>
  <si>
    <t xml:space="preserve">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</si>
  <si>
    <t xml:space="preserve">Approve the prepared launch assets and Beta transition wording; publish nothing.</t>
  </si>
  <si>
    <t xml:space="preserve">O11</t>
  </si>
  <si>
    <t xml:space="preserve">2026-10-29</t>
  </si>
  <si>
    <t xml:space="preserve">Buffer</t>
  </si>
  <si>
    <t xml:space="preserve">Buffer and catch-up: repair anything still red from 1-24 Oct, rerun the affected gate checks, update every Launch Readiness Gate row with evidence.</t>
  </si>
  <si>
    <t xml:space="preserve">Do your remaining overflow items (O12, O13); free otherwise. Decision D6 (latest acceptable launch slip) is due today.</t>
  </si>
  <si>
    <t xml:space="preserve">O12, O13</t>
  </si>
  <si>
    <t xml:space="preserve">new buffer day</t>
  </si>
  <si>
    <t xml:space="preserve">Buffer: repair red items; rerun the full automated gate (npm run qa, Playwright, Rust/desktop checks) to surface blockers early.</t>
  </si>
  <si>
    <t xml:space="preserve">Only the verification steps the AI asks for; otherwise free.</t>
  </si>
  <si>
    <t xml:space="preserve">Buffer: repair red items; rerun security review (auth, RLS, webhook, secrets) on everything changed since 1 Oct.</t>
  </si>
  <si>
    <t xml:space="preserve">Buffer: rerun the complete data-safety/auth/export matrix against the latest build; fix failures in priority order.</t>
  </si>
  <si>
    <t xml:space="preserve">Pre-freeze: review every gate. If all are green, draft the go/no-go packet; if not, list the exact blockers and a repair plan for 30 Oct.</t>
  </si>
  <si>
    <t xml:space="preserve">Read the gate summary and confirm you are ready to freeze on 30 Oct.</t>
  </si>
  <si>
    <t xml:space="preserve">Freeze Release Candidate 1; run full automated/browser/Rust/build/security/marketing checks and produce the final go/no-go packet.</t>
  </si>
  <si>
    <t xml:space="preserve">1. Final Launch Readiness Gate table update: every gate Passed with evidence or an explicit re-decision; production-deploy checks queued for 1 Nov</t>
  </si>
  <si>
    <t xml:space="preserve">Perform one 60-minute customer smoke test and make the formal go/no-go decision.</t>
  </si>
  <si>
    <t xml:space="preserve">10 min + 105 min</t>
  </si>
  <si>
    <t xml:space="preserve">2026-10-30</t>
  </si>
  <si>
    <t xml:space="preserve">Repair only launch blockers, rerun the full gate, take backups, verify rollback/checkout-disable/support procedures, and rehearse the exact production release.</t>
  </si>
  <si>
    <t xml:space="preserve">1. Supabase and project backups taken and restore-tested; checkout-disable switch and rollback tested on the rehearsal</t>
  </si>
  <si>
    <t xml:space="preserve">Complete the full launch rehearsal in two blocks; checkout remains off.</t>
  </si>
  <si>
    <t xml:space="preserve">2026-10-31</t>
  </si>
  <si>
    <t xml:space="preserve">Quiet release</t>
  </si>
  <si>
    <t xml:space="preserve">If every hard gate is green: take final backups, deploy the approved release, close public Beta enrollment, preserve existing testers, enable checkout quietly, and monitor.</t>
  </si>
  <si>
    <t xml:space="preserve">1. Post-deploy production checks: security headers, canonical redirect, Founder slot display, checkout, entitlement, save/export</t>
  </si>
  <si>
    <t xml:space="preserve">Complete one real purchase, verify entitlement/save/export/refund-support paths, and keep rollback ready. No advertising today.</t>
  </si>
  <si>
    <t xml:space="preserve">O15</t>
  </si>
  <si>
    <t xml:space="preserve">2026-11-01</t>
  </si>
  <si>
    <t xml:space="preserve">Public launch</t>
  </si>
  <si>
    <t xml:space="preserve">Recheck overnight errors, payments, entitlements, email, analytics, and support; fix only launch blockers, then publish approved marketing.</t>
  </si>
  <si>
    <t xml:space="preserve">1. Search Console/analytics/support monitoring active; approved marketing prepared for the owner to publish</t>
  </si>
  <si>
    <t xml:space="preserve">Review the morning evidence, approve the public announcement/ads, and monitor the first responses that evening.</t>
  </si>
  <si>
    <t xml:space="preserve">2026-11-02</t>
  </si>
  <si>
    <t xml:space="preserve">YOW daily guide — 28 September to 2 November 2026</t>
  </si>
  <si>
    <t xml:space="preserve">Morning: paste one prompt. Evening/weekend: do only your guided action. Never exceed the time cap.</t>
  </si>
  <si>
    <t xml:space="preserve">The only rule that matters</t>
  </si>
  <si>
    <t xml:space="preserve">AI owns the technical work. You own guided verification and decisions. Stop at the time cap. A task may remain In progress; a hard gate may not be waved through.</t>
  </si>
  <si>
    <t xml:space="preserve">Remaining</t>
  </si>
  <si>
    <t xml:space="preserve">Morning: copy this entire prompt into Codex</t>
  </si>
  <si>
    <t xml:space="preserve">Evening / weekend: exactly what you do</t>
  </si>
  <si>
    <t xml:space="preserve">Time cap</t>
  </si>
  <si>
    <t xml:space="preserve">Done means</t>
  </si>
  <si>
    <t xml:space="preserve">Weekday</t>
  </si>
  <si>
    <t xml:space="preserve">Release &amp; data safety</t>
  </si>
  <si>
    <t xml:space="preserve">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</si>
  <si>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</si>
  <si>
    <t xml:space="preserve">10 min morning + 75 min evening</t>
  </si>
  <si>
    <t xml:space="preserve">The named test passes with saved evidence and no unresolved auth, data-loss, isolation, save, restore, or export blocker.</t>
  </si>
  <si>
    <t xml:space="preserve">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</si>
  <si>
    <t xml:space="preserve">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</si>
  <si>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</si>
  <si>
    <t xml:space="preserve">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</si>
  <si>
    <t xml:space="preserve">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</si>
  <si>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</si>
  <si>
    <t xml:space="preserve">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</si>
  <si>
    <t xml:space="preserve">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</si>
  <si>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</si>
  <si>
    <t xml:space="preserve">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</si>
  <si>
    <t xml:space="preserve">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</si>
  <si>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</si>
  <si>
    <t xml:space="preserve">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</si>
  <si>
    <t xml:space="preserve">Weekend</t>
  </si>
  <si>
    <t xml:space="preserve">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</si>
  <si>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</si>
  <si>
    <t xml:space="preserve">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</si>
  <si>
    <t xml:space="preserve">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</si>
  <si>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</si>
  <si>
    <t xml:space="preserve">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</si>
  <si>
    <t xml:space="preserve">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</si>
  <si>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</si>
  <si>
    <t xml:space="preserve">The named production or export check passes with saved evidence and no unresolved security, ownership, storage, or lifecycle blocker.</t>
  </si>
  <si>
    <t xml:space="preserve">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</si>
  <si>
    <t xml:space="preserve">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</si>
  <si>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</si>
  <si>
    <t xml:space="preserve">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</si>
  <si>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</si>
  <si>
    <t xml:space="preserve">Moved</t>
  </si>
  <si>
    <t xml:space="preserve">Moved 30 Sep: this day's content is rescheduled on the 'Plan from 1 Oct' sheet.</t>
  </si>
  <si>
    <t xml:space="preserve">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</si>
  <si>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</si>
  <si>
    <t xml:space="preserve">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</si>
  <si>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</si>
  <si>
    <t xml:space="preserve">10 min + 60 min</t>
  </si>
  <si>
    <t xml:space="preserve">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</si>
  <si>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</si>
  <si>
    <t xml:space="preserve">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</si>
  <si>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</si>
  <si>
    <t xml:space="preserve">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</si>
  <si>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</si>
  <si>
    <t xml:space="preserve">The named packaged-app journey passes on the required real machine, and the evidence is saved.</t>
  </si>
  <si>
    <t xml:space="preserve">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</si>
  <si>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</si>
  <si>
    <t xml:space="preserve">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</si>
  <si>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</si>
  <si>
    <t xml:space="preserve">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</si>
  <si>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</si>
  <si>
    <t xml:space="preserve">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</si>
  <si>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</si>
  <si>
    <t xml:space="preserve">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</si>
  <si>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</si>
  <si>
    <t xml:space="preserve">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</si>
  <si>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</si>
  <si>
    <t xml:space="preserve">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</si>
  <si>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</si>
  <si>
    <t xml:space="preserve">The named customer journey works as advertised, and any reproducible launch-blocking failure is fixed and retested.</t>
  </si>
  <si>
    <t xml:space="preserve">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</si>
  <si>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</si>
  <si>
    <t xml:space="preserve">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</si>
  <si>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</si>
  <si>
    <t xml:space="preserve">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</si>
  <si>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</si>
  <si>
    <t xml:space="preserve">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</si>
  <si>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</si>
  <si>
    <t xml:space="preserve">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</si>
  <si>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</si>
  <si>
    <t xml:space="preserve">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</si>
  <si>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</si>
  <si>
    <t xml:space="preserve">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</si>
  <si>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</si>
  <si>
    <t xml:space="preserve">The named legal, payment, Beta, or release check passes, evidence is saved, and no promise conflicts with behaviour.</t>
  </si>
  <si>
    <t xml:space="preserve">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</si>
  <si>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</si>
  <si>
    <t xml:space="preserve">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Founding Lifetime, Standard Lifetime, renewal, cancellation/failure,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</si>
  <si>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</si>
  <si>
    <t xml:space="preserve">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</si>
  <si>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</si>
  <si>
    <t xml:space="preserve">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</si>
  <si>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</si>
  <si>
    <t xml:space="preserve">Extra roadmap items for this day are on the 'Plan from 1 Oct' sheet.</t>
  </si>
  <si>
    <t xml:space="preserve">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</si>
  <si>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</si>
  <si>
    <t xml:space="preserve">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</si>
  <si>
    <t xml:space="preserve">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</si>
  <si>
    <t xml:space="preserve">One real purchase grants the correct access; save and export work; Beta is no longer public; existing testers stay safe; rollback is ready.</t>
  </si>
  <si>
    <t xml:space="preserve">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</si>
  <si>
    <t xml:space="preserve">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</si>
  <si>
    <t xml:space="preserve">Overnight health is clean, approved marketing is live, and payment, entitlement, analytics, and support monitoring are active.</t>
  </si>
  <si>
    <t xml:space="preserve">SUPERSEDED for 7-29 Oct: use the 'Plan from 1 Oct' sheet. YOW launch calendar — at a glance</t>
  </si>
  <si>
    <t xml:space="preserve">Weekdays ≤2 hours · weekends ≤4 hours · use Daily Guide for the full prompt and exact instructions</t>
  </si>
  <si>
    <t xml:space="preserve">Week 1 · 2026-09-28 to 2026-10-04</t>
  </si>
  <si>
    <t xml:space="preserve">Mon 28 Sept</t>
  </si>
  <si>
    <t xml:space="preserve">Tue 29 Sept</t>
  </si>
  <si>
    <t xml:space="preserve">Wed 30 Sept</t>
  </si>
  <si>
    <t xml:space="preserve">Thu 1 Oct</t>
  </si>
  <si>
    <t xml:space="preserve">Fri 2 Oct</t>
  </si>
  <si>
    <t xml:space="preserve">Sat 3 Oct</t>
  </si>
  <si>
    <t xml:space="preserve">Sun 4 Oct</t>
  </si>
  <si>
    <t xml:space="preserve">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</si>
  <si>
    <t xml:space="preserve">AM — AI
Finish baseline fixes, rerun all release checks, classify remaining warnings by launch risk, and prepare a safe smoke-test script.
PM / BLOCKS — YOU
Run sign-in → open/create project → write → refresh → export; report exactly what appears.
CAP: 10 min + 90 min</t>
  </si>
  <si>
    <t xml:space="preserve">AM — AI
Audit the pending Supabase migrations, production prerequisites, rollback steps, and Security Advisor checks; prepare one-step owner instructions.
PM / BLOCKS — YOU
Open Supabase with Codex guidance, apply only the verified migrations, and record the results.
CAP: 10 min + 90 min</t>
  </si>
  <si>
    <t xml:space="preserve">AM — AI
Prepare and monitor the real two-tab scene-concurrency acceptance test; fix any reproducible failure and rerun automated coverage.
PM / BLOCKS — YOU
Perform the guided same-scene two-tab test and review or discard the conflict copy.
CAP: 10 min + 90 min</t>
  </si>
  <si>
    <t xml:space="preserve">AM — AI
Prepare the two-account/account-switch entitlement-isolation test and inspect all server-side entitlement paths.
PM / BLOCKS — YOU
Run the guided two-account test using designated test accounts only.
CAP: 10 min + 90 min</t>
  </si>
  <si>
    <t xml:space="preserve">AM — AI
Drive the destructive-action, rollback, media, and quota test suite; prepare disposable fixtures and one-step instructions.
PM / BLOCKS — YOU
Test project deletion/restore, account deletion fixture, media replace/delete, and quota accounting in two blocks.
CAP: 15 min + up to 3 h 45 min</t>
  </si>
  <si>
    <t xml:space="preserve">AM — AI
Run export/import collision and full-account ownership checks; repair failures and assemble Data Safety Gate evidence.
PM / BLOCKS — YOU
Export, inspect, restore/import, and complete the Data Safety go/no-go review.
CAP: 15 min + up to 3 h 45 min</t>
  </si>
  <si>
    <t xml:space="preserve">Week 2 · 2026-10-05 to 2026-10-11</t>
  </si>
  <si>
    <t xml:space="preserve">Mon 5 Oct</t>
  </si>
  <si>
    <t xml:space="preserve">Tue 6 Oct</t>
  </si>
  <si>
    <t xml:space="preserve">Wed 7 Oct</t>
  </si>
  <si>
    <t xml:space="preserve">Thu 8 Oct</t>
  </si>
  <si>
    <t xml:space="preserve">Fri 9 Oct</t>
  </si>
  <si>
    <t xml:space="preserve">Sat 10 Oct</t>
  </si>
  <si>
    <t xml:space="preserve">Sun 11 Oct</t>
  </si>
  <si>
    <t xml:space="preserve">AM — AI
Audit and live-check AI proxy, email endpoints, CORS, durable rate limits, token rejection, and deployed security headers.
PM / BLOCKS — YOU
Follow the safe browser/dashboard checks and record only pass/fail evidence.
CAP: 10 min + 90 min</t>
  </si>
  <si>
    <t xml:space="preserve">AM — AI
Complete private-media RLS and storage-accounting verification, including replacement and deletion cleanup.
PM / BLOCKS — YOU
Upload, replace, delete, and verify one disposable image and its storage figure.
CAP: 10 min + 75 min</t>
  </si>
  <si>
    <t xml:space="preserve">AM — AI
Finish the cloud-expiry/inactive-account lifecycle implementation and tests: notices, Export All, grace, archive/delete, and cloud-write shutdown.
PM / BLOCKS — YOU
Review the customer-visible sequence and approve the exact wording.
CAP: 10 min + 75 min</t>
  </si>
  <si>
    <t xml:space="preserve">AM — AI
Run complete ZIP/DOCX/PDF/World Bible ownership and privacy checks, including expiry access and readable output inspection.
PM / BLOCKS — YOU
Open the generated files and confirm the expected content is present and private data is absent where promised.
CAP: 10 min + 90 min</t>
  </si>
  <si>
    <t xml:space="preserve">AM — AI
Retrieve or document the missing production function definitions, close reproducible database-build gaps, and rerun database checks.
PM / BLOCKS — YOU
Provide guided production access only if needed; review the database continuity result.
CAP: 10 min + 60 min</t>
  </si>
  <si>
    <t xml:space="preserve">AM — AI
Run the entire data-safety/auth/export matrix and fix failures in priority order.
PM / BLOCKS — YOU
Perform the remaining real-account checks in two focused blocks; stop at four hours.
CAP: 15 min + up to 3 h 45 min</t>
  </si>
  <si>
    <t xml:space="preserve">AM — AI
Use the day as the hard-gate repair buffer, rerun the whole matrix, and produce a signed-off evidence summary.
PM / BLOCKS — YOU
Review the summary. Mark the gate Done only if no data-loss/auth/export blocker remains.
CAP: 15 min + up to 3 h 45 min</t>
  </si>
  <si>
    <t xml:space="preserve">Week 3 · 2026-10-12 to 2026-10-18</t>
  </si>
  <si>
    <t xml:space="preserve">Mon 12 Oct</t>
  </si>
  <si>
    <t xml:space="preserve">Tue 13 Oct</t>
  </si>
  <si>
    <t xml:space="preserve">Wed 14 Oct</t>
  </si>
  <si>
    <t xml:space="preserve">Thu 15 Oct</t>
  </si>
  <si>
    <t xml:space="preserve">Fri 16 Oct</t>
  </si>
  <si>
    <t xml:space="preserve">Sat 17 Oct</t>
  </si>
  <si>
    <t xml:space="preserve">Sun 18 Oct</t>
  </si>
  <si>
    <t xml:space="preserve">AM — AI
Implement/finish the full signed-in Tauri project workspace and run desktop unit/Rust/build checks.
PM / BLOCKS — YOU
Open the Mac test build and verify login, library, project navigation, and writing.
CAP: 10 min + 100 min</t>
  </si>
  <si>
    <t xml:space="preserve">AM — AI
Stress the desktop vault: write-behind durability, quit/force-quit, snapshot, restore, relocation, integrity, and disk-error handling.
PM / BLOCKS — YOU
Run the guided vault persistence and restore test with an isolated test vault.
CAP: 10 min + 100 min</t>
  </si>
  <si>
    <t xml:space="preserve">AM — AI
Verify and repair native ZIP/DOCX/PDF/PNG save dialogs and file contents in packaged desktop builds.
PM / BLOCKS — YOU
Save and open each format from the packaged Mac app.
CAP: 10 min + 90 min</t>
  </si>
  <si>
    <t xml:space="preserve">AM — AI
Finish Local Mode/lapse/renewal merge logic, cold-start retry, conflict surfacing, and no-cloud-write verification.
PM / BLOCKS — YOU
Run the guided lapse → web edit → renewal → desktop merge scenario.
CAP: 10 min + 100 min</t>
  </si>
  <si>
    <t xml:space="preserve">AM — AI
Finalise updater manifests, download entitlement gating, installer URLs, hashes, provenance, and unsigned-app instructions.
PM / BLOCKS — YOU
Review the download page and Mac instructions as a customer.
CAP: 10 min + 75 min</t>
  </si>
  <si>
    <t xml:space="preserve">AM — AI
Produce and inspect the final Mac candidate; drive clean-machine install, workspace, export, restore, updater, and uninstall acceptance.
PM / BLOCKS — YOU
Complete the clean/test Mac checklist in two blocks.
CAP: 15 min + up to 3 h 45 min</t>
  </si>
  <si>
    <t xml:space="preserve">AM — AI
Produce the Windows candidate in CI and drive Windows clean-machine/WebView2/install/export/updater/uninstall acceptance; close the Desktop Gate.
PM / BLOCKS — YOU
Complete or coordinate the Windows checklist, then review the combined desktop evidence.
CAP: 15 min + up to 3 h 45 min</t>
  </si>
  <si>
    <t xml:space="preserve">Week 4 · 2026-10-19 to 2026-10-25</t>
  </si>
  <si>
    <t xml:space="preserve">Mon 19 Oct</t>
  </si>
  <si>
    <t xml:space="preserve">Tue 20 Oct</t>
  </si>
  <si>
    <t xml:space="preserve">Wed 21 Oct</t>
  </si>
  <si>
    <t xml:space="preserve">Thu 22 Oct</t>
  </si>
  <si>
    <t xml:space="preserve">Fri 23 Oct</t>
  </si>
  <si>
    <t xml:space="preserve">Sat 24 Oct</t>
  </si>
  <si>
    <t xml:space="preserve">Sun 25 Oct</t>
  </si>
  <si>
    <t xml:space="preserve">AM — AI
Run and repair complete Novella and Short Story workflow, defaults, persistence, and export acceptance.
PM / BLOCKS — YOU
Perform the two guided create → write → export journeys.
CAP: 10 min + 100 min</t>
  </si>
  <si>
    <t xml:space="preserve">AM — AI
Run and repair complete D&amp;D and TTRPG prep/recap, Character Builder, map/default, AI-context, and export acceptance.
PM / BLOCKS — YOU
Perform the two guided campaign journeys using disposable campaigns.
CAP: 10 min + 100 min</t>
  </si>
  <si>
    <t xml:space="preserve">AM — AI
Run and repair Novel and Comic live-cloud, large-project, and complete export acceptance.
PM / BLOCKS — YOU
Perform the guided Novel and Comic journeys.
CAP: 10 min + 100 min</t>
  </si>
  <si>
    <t xml:space="preserve">AM — AI
Run the full Map Builder owner checklist and repair interaction, layer, persistence, responsive, and export defects.
PM / BLOCKS — YOU
Complete the guided map workflow and inspect its exports.
CAP: 10 min + 100 min</t>
  </si>
  <si>
    <t xml:space="preserve">AM — AI
Consolidate remaining Characters, Locations, Lore, Timeline/History, Family/Factions, Series, Schedule, Focused Writing, and AI Import checks.
PM / BLOCKS — YOU
Work through the short owner verification packet; flag only reproducible failures.
CAP: 10 min + 100 min</t>
  </si>
  <si>
    <t xml:space="preserve">AM — AI
Run realistic large-project performance plus 375/768/desktop, keyboard, focus, contrast, real-iPhone, and theme acceptance; fix blockers.
PM / BLOCKS — YOU
Complete device/accessibility tests in two focused blocks.
CAP: 15 min + up to 3 h 45 min</t>
  </si>
  <si>
    <t xml:space="preserve">AM — AI
Test every advertised AI provider, context grounding, errors/retry, secret isolation, chat persistence/export, then rerun all six project-type exports.
PM / BLOCKS — YOU
Supply provider access without sharing secrets; complete the Product Gate review.
CAP: 15 min + up to 3 h 45 min</t>
  </si>
  <si>
    <t xml:space="preserve">Week 5 · 2026-10-26 to 2026-11-01</t>
  </si>
  <si>
    <t xml:space="preserve">Mon 26 Oct</t>
  </si>
  <si>
    <t xml:space="preserve">Tue 27 Oct</t>
  </si>
  <si>
    <t xml:space="preserve">Wed 28 Oct</t>
  </si>
  <si>
    <t xml:space="preserve">Thu 29 Oct</t>
  </si>
  <si>
    <t xml:space="preserve">Fri 30 Oct</t>
  </si>
  <si>
    <t xml:space="preserve">Sat 31 Oct</t>
  </si>
  <si>
    <t xml:space="preserve">Sun 1 Nov</t>
  </si>
  <si>
    <t xml:space="preserve">AM — AI
Reconcile Pricing, FAQ, Terms, Privacy, cancellation, storage, Local Mode, expiry, Founder, AI, export, SEO, and marketing promises.
PM / BLOCKS — YOU
Read the plain-English change packet and approve or correct the final customer promises.
CAP: 10 min + 100 min</t>
  </si>
  <si>
    <t xml:space="preserve">AM — AI
Audit Stripe configuration, webhook idempotency, entitlement fulfilment, refunds/disputes, Founder allocation, and the test-mode runbook.
PM / BLOCKS — YOU
Open Stripe/Supabase only when guided and confirm the displayed test configuration.
CAP: 10 min + 90 min</t>
  </si>
  <si>
    <t xml:space="preserve">AM — AI
Drive the full Stripe test-mode journey one step at a time: Monthly, Founding Lifetime, Standard Lifetime, renewal, cancellation/failure, replay, refund, and dispute.
PM / BLOCKS — YOU
Complete guided test payments and verify app access after each event.
CAP: 10 min + 110 min</t>
  </si>
  <si>
    <t xml:space="preserve">AM — AI
Prepare the reversible Beta-closure/migration operation, final website copy, screenshots, launch post, ads, support replies, and analytics checks without publishing.
PM / BLOCKS — YOU
Approve the prepared launch assets and Beta transition wording; publish nothing.
CAP: 10 min + 90 min</t>
  </si>
  <si>
    <t xml:space="preserve">AM — AI
Freeze Release Candidate 1; run full automated/browser/Rust/build/security/marketing checks and produce the final go/no-go packet.
PM / BLOCKS — YOU
Perform one 60-minute customer smoke test and make the formal go/no-go decision.
CAP: 10 min + 105 min</t>
  </si>
  <si>
    <t xml:space="preserve">AM — AI
Repair only launch blockers, rerun the full gate, take backups, verify rollback/checkout-disable/support procedures, and rehearse the exact production release.
PM / BLOCKS — YOU
Complete the full launch rehearsal in two blocks; checkout remains off.
CAP: 15 min + up to 3 h 45 min</t>
  </si>
  <si>
    <t xml:space="preserve">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</si>
  <si>
    <t xml:space="preserve">Week 6 · 2026-11-02 to 2026-11-02</t>
  </si>
  <si>
    <t xml:space="preserve">Mon 2 Nov</t>
  </si>
  <si>
    <t xml:space="preserve">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</si>
  <si>
    <t xml:space="preserve">Plain-English glossary</t>
  </si>
  <si>
    <t xml:space="preserve">You are not expected to memorise these words. Look here whenever the plan uses one you do not know.</t>
  </si>
  <si>
    <t xml:space="preserve">Term</t>
  </si>
  <si>
    <t xml:space="preserve">What it means</t>
  </si>
  <si>
    <t xml:space="preserve">Why you care</t>
  </si>
  <si>
    <t xml:space="preserve">AI handoff</t>
  </si>
  <si>
    <t xml:space="preserve">The morning prompt pasted into Codex so it can do technical work while you are unavailable.</t>
  </si>
  <si>
    <t xml:space="preserve">It turns a few morning minutes into a prepared evening test.</t>
  </si>
  <si>
    <t xml:space="preserve">Scope freeze</t>
  </si>
  <si>
    <t xml:space="preserve">No new launch features; only work needed to make the agreed product safe and honest.</t>
  </si>
  <si>
    <t xml:space="preserve">It protects the target from nonessential ideas.</t>
  </si>
  <si>
    <t xml:space="preserve">QA</t>
  </si>
  <si>
    <t xml:space="preserve">Deliberately testing the product and recording what passed or failed.</t>
  </si>
  <si>
    <t xml:space="preserve">It prevents customers discovering serious problems after paying.</t>
  </si>
  <si>
    <t xml:space="preserve">Smoke test</t>
  </si>
  <si>
    <t xml:space="preserve">A short critical-path test: sign in, open, write, save, and export.</t>
  </si>
  <si>
    <t xml:space="preserve">If it fails, deeper work pauses until basics are repaired.</t>
  </si>
  <si>
    <t xml:space="preserve">Production</t>
  </si>
  <si>
    <t xml:space="preserve">The live YOW service and real customer data.</t>
  </si>
  <si>
    <t xml:space="preserve">Actions here can affect real people.</t>
  </si>
  <si>
    <t xml:space="preserve">Database migration</t>
  </si>
  <si>
    <t xml:space="preserve">A versioned instruction changing database structure, functions, or security rules.</t>
  </si>
  <si>
    <t xml:space="preserve">It must be verified and reversible.</t>
  </si>
  <si>
    <t xml:space="preserve">RLS</t>
  </si>
  <si>
    <t xml:space="preserve">Database rules deciding which user may read or change each row.</t>
  </si>
  <si>
    <t xml:space="preserve">It prevents customers seeing each other's data.</t>
  </si>
  <si>
    <t xml:space="preserve">Stripe test mode</t>
  </si>
  <si>
    <t xml:space="preserve">A safe Stripe environment using pretend cards and no real money.</t>
  </si>
  <si>
    <t xml:space="preserve">Payment behaviour must pass here before checkout is live.</t>
  </si>
  <si>
    <t xml:space="preserve">Webhook</t>
  </si>
  <si>
    <t xml:space="preserve">A signed message Stripe sends YOW after a payment event.</t>
  </si>
  <si>
    <t xml:space="preserve">It changes paid access.</t>
  </si>
  <si>
    <t xml:space="preserve">Entitlement</t>
  </si>
  <si>
    <t xml:space="preserve">The server-controlled record of features a plan allows.</t>
  </si>
  <si>
    <t xml:space="preserve">Customers receive exactly what they paid for.</t>
  </si>
  <si>
    <t xml:space="preserve">Release candidate</t>
  </si>
  <si>
    <t xml:space="preserve">The exact build proposed for launch after feature work stops.</t>
  </si>
  <si>
    <t xml:space="preserve">Only blockers should alter it.</t>
  </si>
  <si>
    <t xml:space="preserve">Hard gate</t>
  </si>
  <si>
    <t xml:space="preserve">A safety or business check that must pass before launch proceeds.</t>
  </si>
  <si>
    <t xml:space="preserve">Failure moves the date; it is never skipped.</t>
  </si>
  <si>
    <t xml:space="preserve">Rollback</t>
  </si>
  <si>
    <t xml:space="preserve">Return production to its previous known-good version.</t>
  </si>
  <si>
    <t xml:space="preserve">It is the safe exit when launch differs from rehearsal.</t>
  </si>
  <si>
    <t xml:space="preserve">Checkout is live but ads are not; one real purchase proves the full path.</t>
  </si>
  <si>
    <t xml:space="preserve">It catches production-only problems before traffic arrives.</t>
  </si>
  <si>
    <t xml:space="preserve">The healthy product is announced and marketing begins.</t>
  </si>
  <si>
    <t xml:space="preserve">People seeing an ad can buy immediately.</t>
  </si>
  <si>
    <t xml:space="preserve">Beta closure</t>
  </si>
  <si>
    <t xml:space="preserve">Stop offering Beta to new people while preserving existing testers' agreed access and exports.</t>
  </si>
  <si>
    <t xml:space="preserve">It changes the offer without abruptly locking people out.</t>
  </si>
  <si>
    <t xml:space="preserve">Evidence</t>
  </si>
  <si>
    <t xml:space="preserve">A result, screenshot, log, file, or observation showing what happened.</t>
  </si>
  <si>
    <t xml:space="preserve">Done means proven, not attempted.</t>
  </si>
  <si>
    <t xml:space="preserve">Roadmap alignment — every open roadmap / QA-plan item and the day it is scheduled (docs/ROADMAP.md "Sprint alignment" is the canonical copy)</t>
  </si>
  <si>
    <t xml:space="preserve">Launch Readiness Gate</t>
  </si>
  <si>
    <t xml:space="preserve">Gate</t>
  </si>
  <si>
    <t xml:space="preserve">How the sprint closes it</t>
  </si>
  <si>
    <t xml:space="preserve">Closing day</t>
  </si>
  <si>
    <t xml:space="preserve">Scope gate</t>
  </si>
  <si>
    <t xml:space="preserve">Desktop workspace built and verified (6-11 and 17 Oct); every Launch Required and To Be Implemented row closed by 16 Oct or explicitly moved to Future/Excluded</t>
  </si>
  <si>
    <t xml:space="preserve">Project-type gate</t>
  </si>
  <si>
    <t xml:space="preserve">All six types pass create -&gt; write -&gt; export (12-15 Oct); AI behaviour per type (19-20 Oct)</t>
  </si>
  <si>
    <t xml:space="preserve">Data safety gate</t>
  </si>
  <si>
    <t xml:space="preserve">Auth, save, restore, isolation, storage-limit and local/cloud transition evidence (1-5 Oct)</t>
  </si>
  <si>
    <t xml:space="preserve">Export ownership gate</t>
  </si>
  <si>
    <t xml:space="preserve">ZIP/DOCX/PDF/World Bible readable and private, including expiry access (2 and 4-5 Oct)</t>
  </si>
  <si>
    <t xml:space="preserve">Payment gate</t>
  </si>
  <si>
    <t xml:space="preserve">Stripe test-mode journey passes (21-23 Oct), live config reviewed without purchase (24-25 Oct)</t>
  </si>
  <si>
    <t xml:space="preserve">Legal and promise gate</t>
  </si>
  <si>
    <t xml:space="preserve">Copy, Terms, Privacy and behaviour reconciled and approved (21 Oct)</t>
  </si>
  <si>
    <t xml:space="preserve">Responsive gate</t>
  </si>
  <si>
    <t xml:space="preserve">375/768/desktop, Safari/Firefox, real iPhone, keyboard and screen reader (18 Oct)</t>
  </si>
  <si>
    <t xml:space="preserve">Performance gate</t>
  </si>
  <si>
    <t xml:space="preserve">Bundle/route budgets and realistic large-project load (18 Oct); decision D1</t>
  </si>
  <si>
    <t xml:space="preserve">Marketing gate</t>
  </si>
  <si>
    <t xml:space="preserve">Passed 24 Sep for its defined scope; re-verified after copy changes (21 and 24 Oct)</t>
  </si>
  <si>
    <t xml:space="preserve">Item-by-item</t>
  </si>
  <si>
    <t xml:space="preserve">Item</t>
  </si>
  <si>
    <t xml:space="preserve">Source in roadmap / QA plan</t>
  </si>
  <si>
    <t xml:space="preserve">Needs owner?</t>
  </si>
  <si>
    <t xml:space="preserve">Web idle-logout (24h) live-check script: force stale timestamp, confirm clean sign-out without data loss</t>
  </si>
  <si>
    <t xml:space="preserve">QA_PLAN Priority 1 / Launch Required: Web idle logout</t>
  </si>
  <si>
    <t xml:space="preserve">AI-only</t>
  </si>
  <si>
    <t xml:space="preserve">Canonical-host redirect verification (bare domain -&gt; www; path+query preserved; cross-tab auth) script and result</t>
  </si>
  <si>
    <t xml:space="preserve">QA_PLAN Priority 1 / Bugs: bare-domain vs www login</t>
  </si>
  <si>
    <t xml:space="preserve">Deployed security-header check (CSP, HSTS, nosniff, frame, referrer) if not already evidenced on 5 Oct</t>
  </si>
  <si>
    <t xml:space="preserve">QA_PLAN Priority 11 / Security: baseline headers</t>
  </si>
  <si>
    <t xml:space="preserve">DOCX single line-break vs blank-line paragraph fidelity, checked by opening in real Word and Google Docs</t>
  </si>
  <si>
    <t xml:space="preserve">Bugs: manuscript line breaks in DOCX</t>
  </si>
  <si>
    <t xml:space="preserve">AI chat saved as project entry and exported to Word (full chat panel path, not just bottom bar)</t>
  </si>
  <si>
    <t xml:space="preserve">Bugs: AI chats not durable/exportable</t>
  </si>
  <si>
    <t xml:space="preserve">World Bible / visual PDF/HTML encyclopedia output inspected for all six project types</t>
  </si>
  <si>
    <t xml:space="preserve">QA Needed: World Bible export path</t>
  </si>
  <si>
    <t xml:space="preserve">Confirm scene-revision migration is applied in production and the legacy-projection fallback is no longer needed</t>
  </si>
  <si>
    <t xml:space="preserve">Bugs: scene-concurrency projects failed to load</t>
  </si>
  <si>
    <t xml:space="preserve">Replay every committed migration on an empty Supabase project with no manual SQL; reconcile migration history; dry-run push</t>
  </si>
  <si>
    <t xml:space="preserve">QA_PLAN Priority -1: Database and server continuity</t>
  </si>
  <si>
    <t xml:space="preserve">Two-account global-ID collision attempts against every normalized table</t>
  </si>
  <si>
    <t xml:space="preserve">Deploy only the authoritative Vercel billing stack; retire/quarantine the drifted legacy Supabase Edge Function Stripe copies</t>
  </si>
  <si>
    <t xml:space="preserve">PAYMENT_ROADMAP 2026-10-02 note / QA_PLAN Priority -1</t>
  </si>
  <si>
    <t xml:space="preserve">Verify .env.example + runbook can stand up a disposable environment with no browser-exposed provider keys</t>
  </si>
  <si>
    <t xml:space="preserve">QA_PLAN Priority -1</t>
  </si>
  <si>
    <t xml:space="preserve">Scene cleanup on project delete: prepare read-only Supabase check that no scene rows remain</t>
  </si>
  <si>
    <t xml:space="preserve">QA_PLAN Priority 1: Scene cleanup on project delete</t>
  </si>
  <si>
    <t xml:space="preserve">O03</t>
  </si>
  <si>
    <t xml:space="preserve">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</si>
  <si>
    <t xml:space="preserve">Security table / owner 2026-09-30</t>
  </si>
  <si>
    <t xml:space="preserve">Entitlement negative matrix: Free user cannot write plan/status/Founder/Lifetime/Stripe fields via any path</t>
  </si>
  <si>
    <t xml:space="preserve">QA_PLAN Priority -1: Secrets and authorization</t>
  </si>
  <si>
    <t xml:space="preserve">Durable rate-limit live checks (AI proxy, feedback, paid-interest, email actions): 6th request 429s, window clears</t>
  </si>
  <si>
    <t xml:space="preserve">Security: durable rate limits / QA_PLAN Priority -1</t>
  </si>
  <si>
    <t xml:space="preserve">O05</t>
  </si>
  <si>
    <t xml:space="preserve">Queued-storage fault injection: IndexedDB/SQLite open, quota, disk-full, corruption, close-during-write; UI never says Saved before durable</t>
  </si>
  <si>
    <t xml:space="preserve">Security P0-07 / QA_PLAN Priority -1: Data durability</t>
  </si>
  <si>
    <t xml:space="preserve">Legacy migration matrix: localStorage-only, IndexedDB-only, divergent, empty scenes, orphan keys, tombstones, auth tokens preserved/excluded</t>
  </si>
  <si>
    <t xml:space="preserve">QA_PLAN Priority -1: Data durability</t>
  </si>
  <si>
    <t xml:space="preserve">Project archive identity matrix: export/import beside original, another account, colliding IDs, every project type</t>
  </si>
  <si>
    <t xml:space="preserve">QA_PLAN Priority -1 / Bugs P0-06 import id collision</t>
  </si>
  <si>
    <t xml:space="preserve">Server-side quota enforcement bypassing the UI (MIME, size, concurrency, deletion accounting, downgrade/renewal)</t>
  </si>
  <si>
    <t xml:space="preserve">Live two-tab structured-record clobber + nf_scene_versions cross-tab race repro (real credentialed account)</t>
  </si>
  <si>
    <t xml:space="preserve">Bugs: two tabs clobber edits</t>
  </si>
  <si>
    <t xml:space="preserve">O04</t>
  </si>
  <si>
    <t xml:space="preserve">Real-signup flow: first-sign-in sample project prompt, exactly one Sample Project, tour persistence, unconfigured-AI guidance</t>
  </si>
  <si>
    <t xml:space="preserve">QA_PLAN Priority 1: new-account sample/AI setup, brand-new unconfigured AI account</t>
  </si>
  <si>
    <t xml:space="preserve">Cross-browser tour/wizard persistence (fresh browser profile on established account)</t>
  </si>
  <si>
    <t xml:space="preserve">QA_PLAN Priority 1</t>
  </si>
  <si>
    <t xml:space="preserve">Data safety gate and Export ownership gate: write each gate's evidence summary; move a gate to Passed only with evidence, otherwise list the exact remaining blocker</t>
  </si>
  <si>
    <t xml:space="preserve">Desktop entitlement matrix: Free/Monthly/Beta desktop behaviour matches approved matrix and cannot be changed by editing cache/localStorage/user metadata</t>
  </si>
  <si>
    <t xml:space="preserve">QA_PLAN Priority -1: Desktop product and release</t>
  </si>
  <si>
    <t xml:space="preserve">Device cap is enforced (not just a dismissible toast); licence activation with 30-day advisory recheck and offline grace</t>
  </si>
  <si>
    <t xml:space="preserve">QA_PLAN Priority -1 / To Be Implemented: Desktop Lifetime app</t>
  </si>
  <si>
    <t xml:space="preserve">Platform-native commands: external links open default browser; vault reveal opens Finder on macOS and Explorer on Windows</t>
  </si>
  <si>
    <t xml:space="preserve">QA_PLAN Priority -1: Desktop / Security row: open_external_url</t>
  </si>
  <si>
    <t xml:space="preserve">Native/webview items outside the sandbox: focused-writing caret comfort, map draw/undo/PNG export, Supabase auth in WKWebView</t>
  </si>
  <si>
    <t xml:space="preserve">To Be Implemented: Desktop Lifetime app</t>
  </si>
  <si>
    <t xml:space="preserve">Desktop account-only surface replaced by full workspace: re-verify all four plans land in the workspace and device list works</t>
  </si>
  <si>
    <t xml:space="preserve">QA_PLAN Priority 1: Desktop account-only surface</t>
  </si>
  <si>
    <t xml:space="preserve">Vault relocate/locate: move to empty folder, snapshots travel, app reloads, old copy remains, bad/missing path handled</t>
  </si>
  <si>
    <t xml:space="preserve">QA_PLAN Priority 1: Desktop vault relocate/locate</t>
  </si>
  <si>
    <t xml:space="preserve">Vault privacy inspection: vault.db and every snapshot contain no Supabase session, AI key, entitlement secret or unrelated browser key; document encryption-at-rest decision</t>
  </si>
  <si>
    <t xml:space="preserve">QA_PLAN Priority -1 / Bugs P0-10</t>
  </si>
  <si>
    <t xml:space="preserve">Cloud-sync status UI: Syncing / Synced / failure states and Local-first manual sync controls</t>
  </si>
  <si>
    <t xml:space="preserve">QA_PLAN Priority 1: Desktop cloud sync status UI</t>
  </si>
  <si>
    <t xml:space="preserve">Map PNG export and rendered exports from the packaged desktop build (alongside ZIP/DOCX/PDF save dialogs)</t>
  </si>
  <si>
    <t xml:space="preserve">To Be Implemented: Desktop / Reliable map builder</t>
  </si>
  <si>
    <t xml:space="preserve">Cloud sync fully removed on lapse; automatic resume on renewal; Storage tab shows only 'Cloud sync unavailable' + renew CTA</t>
  </si>
  <si>
    <t xml:space="preserve">QA_PLAN Priority 11: cloud sync removed on lapse</t>
  </si>
  <si>
    <t xml:space="preserve">Renewal checkout (GBP 6 hosting) path from desktop: web cloud-required behaviour, entitlement metadata</t>
  </si>
  <si>
    <t xml:space="preserve">Conditional Launch Scope: Lifetime local mode and cloud hosting split</t>
  </si>
  <si>
    <t xml:space="preserve">Unsigned-app disclosure shown prominently before purchase (Pricing, Download, FAQ, checkout) plus Gatekeeper/SmartScreen bypass steps</t>
  </si>
  <si>
    <t xml:space="preserve">QA_PLAN Priority -1: unsigned Mac/Windows packages</t>
  </si>
  <si>
    <t xml:space="preserve">Updater manifest covers every supported platform/architecture; test bad signature, missing platform, offline, interrupted update</t>
  </si>
  <si>
    <t xml:space="preserve">QA_PLAN Priority -1: updater manifest</t>
  </si>
  <si>
    <t xml:space="preserve">Clean-machine Mac: Gatekeeper bypass steps as a customer, install, update from previous release, uninstall leaves vault intact</t>
  </si>
  <si>
    <t xml:space="preserve">QA_PLAN Priority -1: unsigned packages</t>
  </si>
  <si>
    <t xml:space="preserve">Daily-goal streaks: page refresh and project switching while a streak is active, at desktop/tablet/mobile widths</t>
  </si>
  <si>
    <t xml:space="preserve">Launch Required: Consecutive daily-goal streaks</t>
  </si>
  <si>
    <t xml:space="preserve">'Finalise draft' action appears for non-novel types and silently no-ops: hide or make it work, plus regression test</t>
  </si>
  <si>
    <t xml:space="preserve">Bugs 2026-09-24: Finalise draft for non-novel types</t>
  </si>
  <si>
    <t xml:space="preserve">Novella and Short Story starter templates only show their own templates; project-type gate rows for both</t>
  </si>
  <si>
    <t xml:space="preserve">Project Type Launch Scope</t>
  </si>
  <si>
    <t xml:space="preserve">D&amp;D/TTRPG project-type-aware AI behaviour (DM-side vs GM-side framing): prepare the guided checks; owner runs them with their own AI key on 19 Oct</t>
  </si>
  <si>
    <t xml:space="preserve">Bugs 2026-07-19: D&amp;D/TTRPG session workflow</t>
  </si>
  <si>
    <t xml:space="preserve">O07</t>
  </si>
  <si>
    <t xml:space="preserve">Session prep/recap persistence, default-section visibility and export for both campaign types</t>
  </si>
  <si>
    <t xml:space="preserve">All Project Types Live Plan</t>
  </si>
  <si>
    <t xml:space="preserve">Local write path / media upload: live-account upload QA well beyond the old 5-10 MB localStorage cap</t>
  </si>
  <si>
    <t xml:space="preserve">Launch Required: Local write path capped below paid storage promise</t>
  </si>
  <si>
    <t xml:space="preserve">O08</t>
  </si>
  <si>
    <t xml:space="preserve">Novel finalised-draft reader and snapshots: multiple snapshots, previous/next, non-novel hiding</t>
  </si>
  <si>
    <t xml:space="preserve">QA Needed: finalised draft snapshots</t>
  </si>
  <si>
    <t xml:space="preserve">Comic/Graphic Novel live-Supabase and large-project pass (browser-level QA already passed)</t>
  </si>
  <si>
    <t xml:space="preserve">Project Type Launch Scope: Comic</t>
  </si>
  <si>
    <t xml:space="preserve">Reliable map builder acceptance: persistence, grid overlay, JSON import/export, restore from ZIP, high-res PNG, undo/redo, all four map types</t>
  </si>
  <si>
    <t xml:space="preserve">To Be Implemented: Reliable map builder</t>
  </si>
  <si>
    <t xml:space="preserve">Characters: live-sync/media, stale-selection repair and rendered export; Character journey/arc tracking acceptance</t>
  </si>
  <si>
    <t xml:space="preserve">Launch Required: Character system / To Be Implemented</t>
  </si>
  <si>
    <t xml:space="preserve">Locations link cleanup; Lore and Timeline/History on a real synced multi-project series</t>
  </si>
  <si>
    <t xml:space="preserve">Launch Required: Locations, Lore, Timeline/History</t>
  </si>
  <si>
    <t xml:space="preserve">O09</t>
  </si>
  <si>
    <t xml:space="preserve">Character relationship mapping full-network canvas: browser and live-sync QA</t>
  </si>
  <si>
    <t xml:space="preserve">Conditional Launch Scope</t>
  </si>
  <si>
    <t xml:space="preserve">Factions, family groups and Founders directory acceptance</t>
  </si>
  <si>
    <t xml:space="preserve">QA Needed: Factions/family; Founders directory</t>
  </si>
  <si>
    <t xml:space="preserve">Series management and cross-project references; configurable Schedule calendar; Focused writing mode; AI Import for all six types</t>
  </si>
  <si>
    <t xml:space="preserve">To Be Implemented</t>
  </si>
  <si>
    <t xml:space="preserve">Fresh mobile pass on modals/overlays; AI suggestion mode; theme customisation; corner-roundness save-to-profile</t>
  </si>
  <si>
    <t xml:space="preserve">Conditional Launch Scope / QA Needed / QA_PLAN Priority 1</t>
  </si>
  <si>
    <t xml:space="preserve">Windows: SmartScreen bypass steps, WebView2 install, Explorer reveal, updater, uninstall; close Desktop Gate and the desktop row of the Scope gate</t>
  </si>
  <si>
    <t xml:space="preserve">QA_PLAN Priority -1 / Scope gate</t>
  </si>
  <si>
    <t xml:space="preserve">Performance budgets: route/bundle budgets set and met; cold/warm load on low/mid hardware with a realistic 80k+ word project</t>
  </si>
  <si>
    <t xml:space="preserve">Performance gate / QA_PLAN Priority -1</t>
  </si>
  <si>
    <t xml:space="preserve">Very large single scene with a note attached: fix or ship a documented limit (see Decisions D1)</t>
  </si>
  <si>
    <t xml:space="preserve">Bugs 2026-08-08: very large scene typing lag</t>
  </si>
  <si>
    <t xml:space="preserve">D1</t>
  </si>
  <si>
    <t xml:space="preserve">Real iPhone Safari: address bar does not collapse (marked NOT fixed 23 Sep) and white bars above/below the page</t>
  </si>
  <si>
    <t xml:space="preserve">Bugs 2026-09-18: iPhone address bar / QA_PLAN Priority 4</t>
  </si>
  <si>
    <t xml:space="preserve">Remaining contrast-pass installments; Chromium, Safari and Firefox at 375/768/desktop; keyboard-only and VoiceOver pass</t>
  </si>
  <si>
    <t xml:space="preserve">Needs Product Decision: contrast pass / Responsive gate</t>
  </si>
  <si>
    <t xml:space="preserve">O10</t>
  </si>
  <si>
    <t xml:space="preserve">AI key isolation and cross-device sync with two real accounts using OpenRouter and OpenAI keys; proxy transport</t>
  </si>
  <si>
    <t xml:space="preserve">QA_PLAN Priority 1: AI key isolation</t>
  </si>
  <si>
    <t xml:space="preserve">AI chat context controls and budget awareness with real OpenRouter and OpenAI models; grounding QA</t>
  </si>
  <si>
    <t xml:space="preserve">Bugs: AI chat context controls</t>
  </si>
  <si>
    <t xml:space="preserve">Named-provider allow-list and untested-provider labelling behave as decided in D5/D9 (no custom endpoints, no advertising of other providers)</t>
  </si>
  <si>
    <t xml:space="preserve">Owner decision 2026-09-30</t>
  </si>
  <si>
    <t xml:space="preserve">Full AI chat panel saved as a project entry and exported to Word; AI Import for all six project types using OpenRouter/OpenAI</t>
  </si>
  <si>
    <t xml:space="preserve">Bugs: AI chat export / To Be Implemented: AI import</t>
  </si>
  <si>
    <t xml:space="preserve">docs/AI_PROVIDER_COMPLIANCE.md lists exactly OpenRouter and OpenAI as supported</t>
  </si>
  <si>
    <t xml:space="preserve">docs/AI_PROVIDER_COMPLIANCE.md</t>
  </si>
  <si>
    <t xml:space="preserve">Close the Project-type gate and Product acceptance evidence for all six types</t>
  </si>
  <si>
    <t xml:space="preserve">AI provider scope (D5/D9): every mention outside OpenRouter and OpenAI is removed from Pricing, FAQ, Features, AI overview page, llms.txt, onboarding, emails and docs/AI_PROVIDER_COMPLIANCE.md; the in-app provider picker labels the others 'not tested / not officially supported'</t>
  </si>
  <si>
    <t xml:space="preserve">Launch Required / owner decision 2026-09-30</t>
  </si>
  <si>
    <t xml:space="preserve">Resolve every item in marketing-copy-review/COPY_CONFLICTS.md and verify Homepage, Pricing, Features, FAQ, Download, Founders, SEO pages, emails, legal modal, llms.txt, schema and Checkout say the same facts</t>
  </si>
  <si>
    <t xml:space="preserve">QA_PLAN Priority -1 / Marketing gate</t>
  </si>
  <si>
    <t xml:space="preserve">Remove player/public-discovery implications from D&amp;D/TTRPG copy (shared projects, player portals, VTT and mobile apps are excluded)</t>
  </si>
  <si>
    <t xml:space="preserve">QA_PLAN Priority -1: Marketing</t>
  </si>
  <si>
    <t xml:space="preserve">SEO deployment and Search Console sitemap validation; landing page defects</t>
  </si>
  <si>
    <t xml:space="preserve">Conditional Launch Scope: SEO basics, Landing page</t>
  </si>
  <si>
    <t xml:space="preserve">Legal and promise gate: Terms/Privacy final owner review, Beta 30-day notice wording, Local Mode/expiry/quota promises</t>
  </si>
  <si>
    <t xml:space="preserve">Durable Stripe event ledger: replay every supported event at least 3 times; entitlements, dates, Founder counts, emails change exactly once</t>
  </si>
  <si>
    <t xml:space="preserve">QA_PLAN Priority -1: Billing</t>
  </si>
  <si>
    <t xml:space="preserve">Price/entitlement matrix (GBP 10 / 50 / 75 / 6) matches Stripe test Price objects and Checkout line items; no separate purchasable Founder plan</t>
  </si>
  <si>
    <t xml:space="preserve">Remove/migrate the temporary paid-interest 'coming soon' flow and its automatic Beta entitlement; real checkout CTAs behind a launch switch</t>
  </si>
  <si>
    <t xml:space="preserve">PAYMENT_ROADMAP section 3 / QA_PLAN Priority -1</t>
  </si>
  <si>
    <t xml:space="preserve">Founding Lifetime concurrency: checkout holds and successful payments never award more than 100 Founder positions; purchase 101 uses Standard Lifetime automatically</t>
  </si>
  <si>
    <t xml:space="preserve">Prepare the exact Vercel test-mode secrets swap and return-to-live checklist (names only, never values)</t>
  </si>
  <si>
    <t xml:space="preserve">PAYMENT_ROADMAP section 2</t>
  </si>
  <si>
    <t xml:space="preserve">O12</t>
  </si>
  <si>
    <t xml:space="preserve">GBP 6 hosting renewal plus remaining checkout cancellation/expiration, failed/async payment and out-of-order webhook checks</t>
  </si>
  <si>
    <t xml:space="preserve">PAYMENT_ROADMAP section 2 steps 10-11</t>
  </si>
  <si>
    <t xml:space="preserve">Live-account QA of the 'Downgrade to Free' fix for manually-upgraded accounts and real Stripe portal unaffected</t>
  </si>
  <si>
    <t xml:space="preserve">PAYMENT_ROADMAP section 2 step 12</t>
  </si>
  <si>
    <t xml:space="preserve">Return-to-live prepared: swap back to live secrets/prices/webhook is a written one-step runbook; live configuration review without a purchase</t>
  </si>
  <si>
    <t xml:space="preserve">PAYMENT_ROADMAP section 2 step 13</t>
  </si>
  <si>
    <t xml:space="preserve">Prepared release sets YOW_BETA_ENROLLMENT_CLOSED=true and stamps beta_notice_started_at to the launch timestamp; existing testers keep access/exports</t>
  </si>
  <si>
    <t xml:space="preserve">Owner launch handoff: Beta</t>
  </si>
  <si>
    <t xml:space="preserve">O13</t>
  </si>
  <si>
    <t xml:space="preserve">Support inbox and email checks: support@ and founders@ receive and can reply; welcome/reset emails come from the right sender</t>
  </si>
  <si>
    <t xml:space="preserve">Owner launch handoff: Support/privacy</t>
  </si>
  <si>
    <t xml:space="preserve">Final Launch Readiness Gate table update: every gate Passed with evidence or an explicit re-decision; production-deploy checks queued for 1 Nov</t>
  </si>
  <si>
    <t xml:space="preserve">Supabase and project backups taken and restore-tested; checkout-disable switch and rollback tested on the rehearsal</t>
  </si>
  <si>
    <t xml:space="preserve">QA_PLAN Priority 12</t>
  </si>
  <si>
    <t xml:space="preserve">Post-deploy production checks: security headers, canonical redirect, Founder slot display, checkout, entitlement, save/export</t>
  </si>
  <si>
    <t xml:space="preserve">QA_PLAN Priority 11-12</t>
  </si>
  <si>
    <t xml:space="preserve">Search Console/analytics/support monitoring active; approved marketing prepared for the owner to publish</t>
  </si>
  <si>
    <t xml:space="preserve">Launch plan</t>
  </si>
  <si>
    <t xml:space="preserve">Owner overflow — extra checks that need you, each scheduled on a day with spare time. "Deadline" is the latest date it can still be done without delaying a gate.</t>
  </si>
  <si>
    <t xml:space="preserve">ID</t>
  </si>
  <si>
    <t xml:space="preserve">What you do (AI prepares one-step instructions first)</t>
  </si>
  <si>
    <t xml:space="preserve">Est. minutes</t>
  </si>
  <si>
    <t xml:space="preserve">Scheduled day</t>
  </si>
  <si>
    <t xml:space="preserve">Deadline</t>
  </si>
  <si>
    <t xml:space="preserve">Create a brand-new test account and walk the first-run flow: sample-project prompt, exactly one Sample Project, tours dismissed stay dismissed on a fresh browser, clean AI setup message.</t>
  </si>
  <si>
    <t xml:space="preserve">Test alias email + second browser</t>
  </si>
  <si>
    <t xml:space="preserve">Owner-attested 30 Sep: fresh-account flow already run many times; no formal step-by-step evidence saved. Accepted as passed by owner decision.</t>
  </si>
  <si>
    <t xml:space="preserve">Supabase dashboard: switch on leaked-password protection (if your plan offers it). The AI handles the duplicate scenes-policy clean-up separately.</t>
  </si>
  <si>
    <t xml:space="preserve">Supabase dashboard (guided)</t>
  </si>
  <si>
    <t xml:space="preserve">No</t>
  </si>
  <si>
    <t xml:space="preserve">Leaked-password protection not offered on current plan (owner 30 Sep). Accepted Advisor warning; AI verifies password policy on 9 Oct.</t>
  </si>
  <si>
    <t xml:space="preserve">Supabase read-only check after deleting a disposable project: confirm zero scene rows remain for it.</t>
  </si>
  <si>
    <t xml:space="preserve">Supabase dashboard (guided, read-only)</t>
  </si>
  <si>
    <t xml:space="preserve">Send a test email to support@yourownworld.co.uk and founders@yourownworld.co.uk, reply from each mailbox, and confirm both arrive and the reply shows the right sender.</t>
  </si>
  <si>
    <t xml:space="preserve">Your mailboxes</t>
  </si>
  <si>
    <t xml:space="preserve">Both test emails arrived; reply sender showed 'Morgan Bishop, yourownworld.admin@gmail.com' instead of the support@/founders@ address. Follow-up O16.</t>
  </si>
  <si>
    <t xml:space="preserve">Make replies from support@ and founders@ show the YOW address: add both as Gmail 'Send mail as' aliases that send through Resend SMTP (Cloudflare Email Routing only receives). Steps are in the Do Now sheet.</t>
  </si>
  <si>
    <t xml:space="preserve">Gmail settings + domain mail setup</t>
  </si>
  <si>
    <t xml:space="preserve">Two real browser tabs on the same test account: structured-record clobber test and the same-scene race repro.</t>
  </si>
  <si>
    <t xml:space="preserve">Two tabs, test account</t>
  </si>
  <si>
    <t xml:space="preserve">Live rate-limit check: send 6 feedback requests from one connection, confirm the 6th is refused and the block clears.</t>
  </si>
  <si>
    <t xml:space="preserve">Production site (guided)</t>
  </si>
  <si>
    <t xml:space="preserve">Arrange a clean Windows PC (or rented cloud Windows PC) for 17 Oct and tell me the Windows version.</t>
  </si>
  <si>
    <t xml:space="preserve">Windows machine</t>
  </si>
  <si>
    <t xml:space="preserve">Owner has a real Windows PC with admin rights (30 Sep). Exact Windows version to be read with winver before 17 Oct.</t>
  </si>
  <si>
    <t xml:space="preserve">Upload larger images to a disposable project on a real account and confirm the storage figure and cap behaviour.</t>
  </si>
  <si>
    <t xml:space="preserve">Test account</t>
  </si>
  <si>
    <t xml:space="preserve">On a real account with a two-project series, check Characters, Locations, Lore and Timeline sync forward to the second project.</t>
  </si>
  <si>
    <t xml:space="preserve">Test account with a series</t>
  </si>
  <si>
    <t xml:space="preserve">Firefox and Safari passes at phone/tablet/desktop widths plus a VoiceOver and keyboard-only run. Runs inside the 18 Oct device blocks.</t>
  </si>
  <si>
    <t xml:space="preserve">Firefox, Safari, VoiceOver</t>
  </si>
  <si>
    <t xml:space="preserve">Your own OpenRouter and OpenAI keys (never pasted into chat): DM/GM framing, key isolation across two accounts, context controls. Runs inside the 19-20 Oct owner blocks. Other providers are not tested.</t>
  </si>
  <si>
    <t xml:space="preserve">Your AI key + two test accounts</t>
  </si>
  <si>
    <t xml:space="preserve">Search Console: confirm the sitemap is read after deploy and request indexing for the key pages.</t>
  </si>
  <si>
    <t xml:space="preserve">Search Console</t>
  </si>
  <si>
    <t xml:space="preserve">Stripe and Vercel dashboards (guided, names only): confirm live keys/prices/webhook events are ready for launch, without a purchase.</t>
  </si>
  <si>
    <t xml:space="preserve">Stripe + Vercel dashboards</t>
  </si>
  <si>
    <t xml:space="preserve">Vercel: confirm the Beta-close setting exists (name only, do not enable it yet) and approve the Beta-close timestamp plan.</t>
  </si>
  <si>
    <t xml:space="preserve">Vercel dashboard (guided)</t>
  </si>
  <si>
    <t xml:space="preserve">After deploy on 1 Nov: open the live site DevTools and confirm headers, the www redirect, and one Founder slot display.</t>
  </si>
  <si>
    <t xml:space="preserve">O17</t>
  </si>
  <si>
    <t xml:space="preserve">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</si>
  <si>
    <t xml:space="preserve">Two Free test accounts + Supabase SQL editor + Vercel cron Run button (guided)</t>
  </si>
  <si>
    <t xml:space="preserve">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</si>
  <si>
    <t xml:space="preserve">Total minutes</t>
  </si>
  <si>
    <t xml:space="preserve">Remaining minutes</t>
  </si>
  <si>
    <t xml:space="preserve">Decisions only you can make — with my recommended default. If you do not answer by the date, the AI proceeds with the default.</t>
  </si>
  <si>
    <t xml:space="preserve">Decision</t>
  </si>
  <si>
    <t xml:space="preserve">Recommended default</t>
  </si>
  <si>
    <t xml:space="preserve">Decide by</t>
  </si>
  <si>
    <t xml:space="preserve">Your decision</t>
  </si>
  <si>
    <t xml:space="preserve">D5</t>
  </si>
  <si>
    <t xml:space="preserve">Which AI providers does launch advertise?</t>
  </si>
  <si>
    <t xml:space="preserve">OpenRouter and OpenAI only.</t>
  </si>
  <si>
    <t xml:space="preserve">Advertise and support only OpenRouter and OpenAI (the providers the owner can access and test). Other providers are not advertised, not live-tested, and labelled 'not tested' in the app (default treatment, see D9).</t>
  </si>
  <si>
    <t xml:space="preserve">Decided</t>
  </si>
  <si>
    <t xml:space="preserve">D2</t>
  </si>
  <si>
    <t xml:space="preserve">JavaScript type checking, React-compiler warnings and stricter CI gates: do they block launch?</t>
  </si>
  <si>
    <t xml:space="preserve">Park until after launch; quality hardening, not one of the seven blocker categories.</t>
  </si>
  <si>
    <t xml:space="preserve">Accepted default: parked until after launch.</t>
  </si>
  <si>
    <t xml:space="preserve">D3</t>
  </si>
  <si>
    <t xml:space="preserve">Desktop vault encryption at rest: encrypt, or launch unencrypted with clear disclosure?</t>
  </si>
  <si>
    <t xml:space="preserve">Launch with disclosure and record the decision; revisit later.</t>
  </si>
  <si>
    <t xml:space="preserve">Accepted default: launch with disclosure; record the decision.</t>
  </si>
  <si>
    <t xml:space="preserve">A very large scene (30k+ words) with a note attached types slowly. Fixing it properly is a large change. Build it, or launch with a documented soft limit and in-app warning?</t>
  </si>
  <si>
    <t xml:space="preserve">Ship a documented limit and warning; keep the large fix for after launch (not a data-loss or broken-save blocker).</t>
  </si>
  <si>
    <t xml:space="preserve">Accepted default: ship a documented limit and in-app warning for very large scenes; full fix after launch.</t>
  </si>
  <si>
    <t xml:space="preserve">D4</t>
  </si>
  <si>
    <t xml:space="preserve">If Windows fails its clean-machine test on 17 Oct: delay launch, or launch Mac-only with Windows following?</t>
  </si>
  <si>
    <t xml:space="preserve">Decide now; Lifetime is promised for macOS and Windows. Recommended: delay only if Windows data-loss/save/export fails; otherwise fix and retest in the buffer.</t>
  </si>
  <si>
    <t xml:space="preserve">Accepted default: delay only if Windows data-loss/save/export fails; otherwise fix and retest in the buffer.</t>
  </si>
  <si>
    <t xml:space="preserve">D9</t>
  </si>
  <si>
    <t xml:space="preserve">Follow-on to D5: what happens to the other providers already in the app (Google, Anthropic, Groq, Mistral, Together)?</t>
  </si>
  <si>
    <t xml:space="preserve">Keep working but labelled 'not tested / not officially supported'; nothing advertised. (Alternative: hide them.)</t>
  </si>
  <si>
    <t xml:space="preserve">Accepted default (follow-on to D5): keep the other providers' code working but label them 'not tested / not officially supported' in the AI settings picker and remove them from all marketing and docs. Owner can instead ask for them to be hidden.</t>
  </si>
  <si>
    <t xml:space="preserve">D10</t>
  </si>
  <si>
    <t xml:space="preserve">Replies to customers currently come from yourownworld.admin@gmail.com (shown as 'Morgan Bishop'), not support@/founders@yourownworld.co.uk, which the Terms and Privacy pages publish. Fix before launch, or accept?</t>
  </si>
  <si>
    <t xml:space="preserve">Fix before launch (O16): it keeps the published support address consistent and avoids replies landing in spam.</t>
  </si>
  <si>
    <t xml:space="preserve">Fix before launch (owner confirmed 30 Sep). Done via O16 once the owner says how support@ receives mail.</t>
  </si>
  <si>
    <t xml:space="preserve">D8</t>
  </si>
  <si>
    <t xml:space="preserve">Resume Stripe work: the roadmap parked payments (18 Sep); this sprint schedules 21-24 Oct for it.</t>
  </si>
  <si>
    <t xml:space="preserve">Confirm; PAYMENT_ROADMAP.md stays the Stripe tracker while the sprint drives the schedule.</t>
  </si>
  <si>
    <t xml:space="preserve">Accepted default: Stripe work resumes 21-25 Oct; PAYMENT_ROADMAP.md stays the tracker.</t>
  </si>
  <si>
    <t xml:space="preserve">D7</t>
  </si>
  <si>
    <t xml:space="preserve">Remove the temporary 'Paid plans are coming soon' interest flow when checkout goes live?</t>
  </si>
  <si>
    <t xml:space="preserve">Yes, remove it; it grants automatic Beta access and conflicts with real checkout.</t>
  </si>
  <si>
    <t xml:space="preserve">Accepted default: remove the 'coming soon' interest flow when checkout goes live.</t>
  </si>
  <si>
    <t xml:space="preserve">D6</t>
  </si>
  <si>
    <t xml:space="preserve">Latest date you would still accept a launch slip, and the fallback date.</t>
  </si>
  <si>
    <t xml:space="preserve">Pick a cut-off by 25 Oct so nothing is decided under pressure. Launch stays 1-2 Nov unless a gate fails.</t>
  </si>
  <si>
    <t xml:space="preserve">Accepted default: launch date is fixed at 1 Nov (quiet release; public 2 Nov). Owner to name a fallback date by 25 Oct.</t>
  </si>
</sst>
</file>

<file path=xl/styles.xml><?xml version="1.0" encoding="utf-8"?>
<styleSheet xmlns="http://schemas.openxmlformats.org/spreadsheetml/2006/main">
  <numFmts count="3">
    <numFmt numFmtId="164" formatCode="General"/>
    <numFmt numFmtId="165" formatCode="ddd\ d\ mmm"/>
    <numFmt numFmtId="166" formatCode="0%"/>
  </numFmts>
  <fonts count="17">
    <font>
      <sz val="10"/>
      <name val="Arial"/>
      <family val="2"/>
    </font>
    <font>
      <sz val="10"/>
      <name val="Arial"/>
      <family val="0"/>
    </font>
    <font>
      <sz val="10"/>
      <name val="Arial"/>
      <family val="0"/>
    </font>
    <font>
      <sz val="10"/>
      <name val="Arial"/>
      <family val="0"/>
    </font>
    <font>
      <sz val="11"/>
      <name val="Calibri"/>
      <family val="0"/>
      <charset val="1"/>
    </font>
    <font>
      <b val="true"/>
      <sz val="16"/>
      <color rgb="FF17324D"/>
      <name val="Arial"/>
      <family val="0"/>
      <charset val="1"/>
    </font>
    <font>
      <i val="true"/>
      <sz val="10"/>
      <color rgb="FF566573"/>
      <name val="Arial"/>
      <family val="0"/>
      <charset val="1"/>
    </font>
    <font>
      <b val="true"/>
      <sz val="11"/>
      <color rgb="FFFFFFFF"/>
      <name val="Arial"/>
      <family val="0"/>
      <charset val="1"/>
    </font>
    <font>
      <sz val="10"/>
      <color rgb="FF243442"/>
      <name val="Arial"/>
      <family val="0"/>
      <charset val="1"/>
    </font>
    <font>
      <b val="true"/>
      <sz val="11"/>
      <name val="Cambria"/>
      <family val="0"/>
      <charset val="1"/>
    </font>
    <font>
      <b val="true"/>
      <sz val="13"/>
      <name val="Cambria"/>
      <family val="0"/>
      <charset val="1"/>
    </font>
    <font>
      <b val="true"/>
      <sz val="11"/>
      <color rgb="FFFFFFFF"/>
      <name val="Cambria"/>
      <family val="0"/>
      <charset val="1"/>
    </font>
    <font>
      <b val="true"/>
      <sz val="10"/>
      <color rgb="FF17324D"/>
      <name val="Arial"/>
      <family val="0"/>
      <charset val="1"/>
    </font>
    <font>
      <b val="true"/>
      <sz val="11"/>
      <color rgb="FF17324D"/>
      <name val="Arial"/>
      <family val="0"/>
      <charset val="1"/>
    </font>
    <font>
      <sz val="10"/>
      <color rgb="FF5A4625"/>
      <name val="Arial"/>
      <family val="0"/>
      <charset val="1"/>
    </font>
    <font>
      <b val="true"/>
      <sz val="10"/>
      <color rgb="FFFFFFFF"/>
      <name val="Arial"/>
      <family val="0"/>
      <charset val="1"/>
    </font>
    <font>
      <sz val="9"/>
      <color rgb="FF243442"/>
      <name val="Arial"/>
      <family val="0"/>
      <charset val="1"/>
    </font>
  </fonts>
  <fills count="16">
    <fill>
      <patternFill patternType="none"/>
    </fill>
    <fill>
      <patternFill patternType="gray125"/>
    </fill>
    <fill>
      <patternFill patternType="solid">
        <fgColor rgb="FF17324D"/>
        <bgColor rgb="FF243442"/>
      </patternFill>
    </fill>
    <fill>
      <patternFill patternType="solid">
        <fgColor rgb="FFF7F9FA"/>
        <bgColor rgb="FFF3F6F8"/>
      </patternFill>
    </fill>
    <fill>
      <patternFill patternType="solid">
        <fgColor rgb="FF1F4E5F"/>
        <bgColor rgb="FF156082"/>
      </patternFill>
    </fill>
    <fill>
      <patternFill patternType="solid">
        <fgColor rgb="FFF3F6F8"/>
        <bgColor rgb="FFF7F9FA"/>
      </patternFill>
    </fill>
    <fill>
      <patternFill patternType="solid">
        <fgColor rgb="FFFFF7E6"/>
        <bgColor rgb="FFFDF1D5"/>
      </patternFill>
    </fill>
    <fill>
      <patternFill patternType="solid">
        <fgColor rgb="FFDCEAF7"/>
        <bgColor rgb="FFD4E8E6"/>
      </patternFill>
    </fill>
    <fill>
      <patternFill patternType="solid">
        <fgColor rgb="FFE9E1F5"/>
        <bgColor rgb="FFDDE3E8"/>
      </patternFill>
    </fill>
    <fill>
      <patternFill patternType="solid">
        <fgColor rgb="FFFCE8E6"/>
        <bgColor rgb="FFFDF1D5"/>
      </patternFill>
    </fill>
    <fill>
      <patternFill patternType="solid">
        <fgColor rgb="FFDFF1E8"/>
        <bgColor rgb="FFDDF2E3"/>
      </patternFill>
    </fill>
    <fill>
      <patternFill patternType="solid">
        <fgColor rgb="FFFDF1D5"/>
        <bgColor rgb="FFFFF1C7"/>
      </patternFill>
    </fill>
    <fill>
      <patternFill patternType="solid">
        <fgColor rgb="FFD4E8E6"/>
        <bgColor rgb="FFDDE3E8"/>
      </patternFill>
    </fill>
    <fill>
      <patternFill patternType="solid">
        <fgColor rgb="FFB9DED7"/>
        <bgColor rgb="FFC9D3DC"/>
      </patternFill>
    </fill>
    <fill>
      <patternFill patternType="solid">
        <fgColor rgb="FFFFFFFF"/>
        <bgColor rgb="FFF7F9FA"/>
      </patternFill>
    </fill>
    <fill>
      <patternFill patternType="solid">
        <fgColor rgb="FFF3EEF9"/>
        <bgColor rgb="FFEEF2F5"/>
      </patternFill>
    </fill>
  </fills>
  <borders count="14">
    <border diagonalUp="false" diagonalDown="false">
      <left/>
      <right/>
      <top/>
      <bottom/>
      <diagonal/>
    </border>
    <border diagonalUp="false" diagonalDown="false">
      <left style="thin">
        <color rgb="FFC9D3DC"/>
      </left>
      <right style="thin">
        <color rgb="FFC9D3DC"/>
      </right>
      <top style="thin">
        <color rgb="FFC9D3DC"/>
      </top>
      <bottom style="thin">
        <color rgb="FFC9D3DC"/>
      </bottom>
      <diagonal/>
    </border>
    <border diagonalUp="false" diagonalDown="false">
      <left style="thin">
        <color rgb="FFC9D3DC"/>
      </left>
      <right/>
      <top style="thin">
        <color rgb="FFC9D3DC"/>
      </top>
      <bottom/>
      <diagonal/>
    </border>
    <border diagonalUp="false" diagonalDown="false">
      <left/>
      <right style="thin">
        <color rgb="FFC9D3DC"/>
      </right>
      <top style="thin">
        <color rgb="FFC9D3DC"/>
      </top>
      <bottom/>
      <diagonal/>
    </border>
    <border diagonalUp="false" diagonalDown="false">
      <left style="thin">
        <color rgb="FFC9D3DC"/>
      </left>
      <right/>
      <top/>
      <bottom/>
      <diagonal/>
    </border>
    <border diagonalUp="false" diagonalDown="false">
      <left/>
      <right style="thin">
        <color rgb="FFC9D3DC"/>
      </right>
      <top/>
      <bottom/>
      <diagonal/>
    </border>
    <border diagonalUp="false" diagonalDown="false">
      <left style="thin">
        <color rgb="FFE8C980"/>
      </left>
      <right style="thin">
        <color rgb="FFE8C980"/>
      </right>
      <top style="thin">
        <color rgb="FFE8C980"/>
      </top>
      <bottom style="thin">
        <color rgb="FFE8C980"/>
      </bottom>
      <diagonal/>
    </border>
    <border diagonalUp="false" diagonalDown="false">
      <left style="thin">
        <color rgb="FFC9D3DC"/>
      </left>
      <right/>
      <top/>
      <bottom style="thin">
        <color rgb="FFC9D3DC"/>
      </bottom>
      <diagonal/>
    </border>
    <border diagonalUp="false" diagonalDown="false">
      <left/>
      <right style="thin">
        <color rgb="FFC9D3DC"/>
      </right>
      <top/>
      <bottom style="thin">
        <color rgb="FFC9D3DC"/>
      </bottom>
      <diagonal/>
    </border>
    <border diagonalUp="false" diagonalDown="false">
      <left/>
      <right/>
      <top/>
      <bottom style="thin">
        <color rgb="FFDDE3E8"/>
      </bottom>
      <diagonal/>
    </border>
    <border diagonalUp="false" diagonalDown="false">
      <left/>
      <right/>
      <top style="thin">
        <color rgb="FFDDE3E8"/>
      </top>
      <bottom style="thin">
        <color rgb="FFDDE3E8"/>
      </bottom>
      <diagonal/>
    </border>
    <border diagonalUp="false" diagonalDown="false">
      <left/>
      <right/>
      <top style="thin">
        <color rgb="FFDDE3E8"/>
      </top>
      <bottom style="thin">
        <color rgb="FFAAB7C2"/>
      </bottom>
      <diagonal/>
    </border>
    <border diagonalUp="false" diagonalDown="false">
      <left style="thin">
        <color rgb="FFAAB7C2"/>
      </left>
      <right style="thin">
        <color rgb="FFAAB7C2"/>
      </right>
      <top style="thin">
        <color rgb="FFAAB7C2"/>
      </top>
      <bottom style="thin">
        <color rgb="FFAAB7C2"/>
      </bottom>
      <diagonal/>
    </border>
    <border diagonalUp="false" diagonalDown="false">
      <left/>
      <right/>
      <top style="thin">
        <color rgb="FFDDE3E8"/>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0" applyFont="true" applyBorder="true" applyAlignment="false" applyProtection="false">
      <alignment horizontal="general" vertical="bottom" textRotation="0" wrapText="false" indent="0" shrinkToFit="false"/>
      <protection locked="true" hidden="false"/>
    </xf>
    <xf numFmtId="164" fontId="6" fillId="0" borderId="0" xfId="20" applyFont="true" applyBorder="true" applyAlignment="false" applyProtection="false">
      <alignment horizontal="general" vertical="bottom" textRotation="0" wrapText="false" indent="0" shrinkToFit="false"/>
      <protection locked="true" hidden="false"/>
    </xf>
    <xf numFmtId="164" fontId="7" fillId="2" borderId="0" xfId="20" applyFont="true" applyBorder="true" applyAlignment="true" applyProtection="false">
      <alignment horizontal="general" vertical="center" textRotation="0" wrapText="false" indent="0" shrinkToFit="false"/>
      <protection locked="true" hidden="false"/>
    </xf>
    <xf numFmtId="164" fontId="8" fillId="3" borderId="1" xfId="20" applyFont="true" applyBorder="true" applyAlignment="true" applyProtection="false">
      <alignment horizontal="general" vertical="top" textRotation="0" wrapText="true" indent="0" shrinkToFit="false"/>
      <protection locked="true" hidden="false"/>
    </xf>
    <xf numFmtId="164" fontId="9" fillId="0" borderId="0" xfId="20" applyFont="true" applyBorder="false" applyAlignment="true" applyProtection="false">
      <alignment horizontal="general" vertical="top" textRotation="0" wrapText="true" indent="0" shrinkToFit="false"/>
      <protection locked="true" hidden="false"/>
    </xf>
    <xf numFmtId="164" fontId="10" fillId="0" borderId="0" xfId="20" applyFont="true" applyBorder="false" applyAlignment="false" applyProtection="false">
      <alignment horizontal="general" vertical="bottom" textRotation="0" wrapText="false" indent="0" shrinkToFit="false"/>
      <protection locked="true" hidden="false"/>
    </xf>
    <xf numFmtId="164" fontId="11" fillId="4" borderId="0" xfId="20" applyFont="true" applyBorder="false" applyAlignment="true" applyProtection="false">
      <alignment horizontal="general" vertical="center" textRotation="0" wrapText="true" indent="0" shrinkToFit="false"/>
      <protection locked="true" hidden="false"/>
    </xf>
    <xf numFmtId="164" fontId="4" fillId="0" borderId="0" xfId="20" applyFont="true" applyBorder="false" applyAlignment="true" applyProtection="false">
      <alignment horizontal="general" vertical="top" textRotation="0" wrapText="true" indent="0" shrinkToFit="false"/>
      <protection locked="true" hidden="false"/>
    </xf>
    <xf numFmtId="165" fontId="4" fillId="0" borderId="0" xfId="20" applyFont="false" applyBorder="false" applyAlignment="true" applyProtection="false">
      <alignment horizontal="general" vertical="top" textRotation="0" wrapText="true" indent="0" shrinkToFit="false"/>
      <protection locked="true" hidden="false"/>
    </xf>
    <xf numFmtId="166" fontId="4" fillId="0" borderId="0" xfId="20" applyFont="false" applyBorder="false" applyAlignment="false" applyProtection="false">
      <alignment horizontal="general" vertical="bottom" textRotation="0" wrapText="false" indent="0" shrinkToFit="false"/>
      <protection locked="true" hidden="false"/>
    </xf>
    <xf numFmtId="164" fontId="12" fillId="5" borderId="2" xfId="20" applyFont="true" applyBorder="true" applyAlignment="false" applyProtection="false">
      <alignment horizontal="general" vertical="bottom" textRotation="0" wrapText="false" indent="0" shrinkToFit="false"/>
      <protection locked="true" hidden="false"/>
    </xf>
    <xf numFmtId="164" fontId="13" fillId="5" borderId="3" xfId="20" applyFont="true" applyBorder="true" applyAlignment="false" applyProtection="false">
      <alignment horizontal="general" vertical="bottom" textRotation="0" wrapText="false" indent="0" shrinkToFit="false"/>
      <protection locked="true" hidden="false"/>
    </xf>
    <xf numFmtId="164" fontId="13" fillId="0" borderId="0" xfId="20" applyFont="true" applyBorder="true" applyAlignment="false" applyProtection="false">
      <alignment horizontal="general" vertical="bottom" textRotation="0" wrapText="false" indent="0" shrinkToFit="false"/>
      <protection locked="true" hidden="false"/>
    </xf>
    <xf numFmtId="164" fontId="12" fillId="5" borderId="4" xfId="20" applyFont="true" applyBorder="true" applyAlignment="false" applyProtection="false">
      <alignment horizontal="general" vertical="bottom" textRotation="0" wrapText="false" indent="0" shrinkToFit="false"/>
      <protection locked="true" hidden="false"/>
    </xf>
    <xf numFmtId="164" fontId="13" fillId="5" borderId="5" xfId="20" applyFont="true" applyBorder="true" applyAlignment="false" applyProtection="false">
      <alignment horizontal="general" vertical="bottom" textRotation="0" wrapText="false" indent="0" shrinkToFit="false"/>
      <protection locked="true" hidden="false"/>
    </xf>
    <xf numFmtId="164" fontId="14" fillId="6" borderId="6" xfId="20" applyFont="true" applyBorder="true" applyAlignment="true" applyProtection="false">
      <alignment horizontal="general" vertical="center" textRotation="0" wrapText="true" indent="0" shrinkToFit="false"/>
      <protection locked="true" hidden="false"/>
    </xf>
    <xf numFmtId="164" fontId="12" fillId="5" borderId="7" xfId="20" applyFont="true" applyBorder="true" applyAlignment="false" applyProtection="false">
      <alignment horizontal="general" vertical="bottom" textRotation="0" wrapText="false" indent="0" shrinkToFit="false"/>
      <protection locked="true" hidden="false"/>
    </xf>
    <xf numFmtId="166" fontId="13" fillId="5" borderId="8" xfId="20" applyFont="true" applyBorder="true" applyAlignment="false" applyProtection="false">
      <alignment horizontal="general" vertical="bottom" textRotation="0" wrapText="false" indent="0" shrinkToFit="false"/>
      <protection locked="true" hidden="false"/>
    </xf>
    <xf numFmtId="164" fontId="15" fillId="2" borderId="9" xfId="20" applyFont="true" applyBorder="true" applyAlignment="true" applyProtection="false">
      <alignment horizontal="center" vertical="center" textRotation="0" wrapText="true" indent="0" shrinkToFit="false"/>
      <protection locked="true" hidden="false"/>
    </xf>
    <xf numFmtId="165" fontId="8" fillId="0" borderId="10" xfId="20" applyFont="true" applyBorder="true" applyAlignment="true" applyProtection="false">
      <alignment horizontal="general" vertical="top" textRotation="0" wrapText="false" indent="0" shrinkToFit="false"/>
      <protection locked="true" hidden="false"/>
    </xf>
    <xf numFmtId="164" fontId="8" fillId="0" borderId="10" xfId="20" applyFont="true" applyBorder="true" applyAlignment="true" applyProtection="false">
      <alignment horizontal="general" vertical="top" textRotation="0" wrapText="false" indent="0" shrinkToFit="false"/>
      <protection locked="true" hidden="false"/>
    </xf>
    <xf numFmtId="164" fontId="8" fillId="7" borderId="10" xfId="20" applyFont="true" applyBorder="true" applyAlignment="true" applyProtection="false">
      <alignment horizontal="general" vertical="top" textRotation="0" wrapText="false" indent="0" shrinkToFit="false"/>
      <protection locked="true" hidden="false"/>
    </xf>
    <xf numFmtId="164" fontId="8" fillId="0" borderId="10" xfId="20" applyFont="true" applyBorder="true" applyAlignment="true" applyProtection="false">
      <alignment horizontal="general" vertical="top" textRotation="0" wrapText="true" indent="0" shrinkToFit="false"/>
      <protection locked="true" hidden="false"/>
    </xf>
    <xf numFmtId="164" fontId="8" fillId="0" borderId="10" xfId="20" applyFont="true" applyBorder="true" applyAlignment="true" applyProtection="false">
      <alignment horizontal="center" vertical="top" textRotation="0" wrapText="false" indent="0" shrinkToFit="false"/>
      <protection locked="true" hidden="false"/>
    </xf>
    <xf numFmtId="164" fontId="8" fillId="8" borderId="10" xfId="20" applyFont="true" applyBorder="true" applyAlignment="true" applyProtection="false">
      <alignment horizontal="general" vertical="top" textRotation="0" wrapText="false" indent="0" shrinkToFit="false"/>
      <protection locked="true" hidden="false"/>
    </xf>
    <xf numFmtId="164" fontId="8" fillId="9" borderId="10" xfId="20" applyFont="true" applyBorder="true" applyAlignment="true" applyProtection="false">
      <alignment horizontal="general" vertical="top" textRotation="0" wrapText="false" indent="0" shrinkToFit="false"/>
      <protection locked="true" hidden="false"/>
    </xf>
    <xf numFmtId="164" fontId="8" fillId="10" borderId="10" xfId="20" applyFont="true" applyBorder="true" applyAlignment="true" applyProtection="false">
      <alignment horizontal="general" vertical="top" textRotation="0" wrapText="false" indent="0" shrinkToFit="false"/>
      <protection locked="true" hidden="false"/>
    </xf>
    <xf numFmtId="164" fontId="8" fillId="11" borderId="10" xfId="20" applyFont="true" applyBorder="true" applyAlignment="true" applyProtection="false">
      <alignment horizontal="general" vertical="top" textRotation="0" wrapText="false" indent="0" shrinkToFit="false"/>
      <protection locked="true" hidden="false"/>
    </xf>
    <xf numFmtId="164" fontId="8" fillId="12" borderId="10" xfId="20" applyFont="true" applyBorder="true" applyAlignment="true" applyProtection="false">
      <alignment horizontal="general" vertical="top" textRotation="0" wrapText="false" indent="0" shrinkToFit="false"/>
      <protection locked="true" hidden="false"/>
    </xf>
    <xf numFmtId="165" fontId="8" fillId="0" borderId="11" xfId="20" applyFont="true" applyBorder="true" applyAlignment="true" applyProtection="false">
      <alignment horizontal="general" vertical="top" textRotation="0" wrapText="false" indent="0" shrinkToFit="false"/>
      <protection locked="true" hidden="false"/>
    </xf>
    <xf numFmtId="164" fontId="8" fillId="0" borderId="11" xfId="20" applyFont="true" applyBorder="true" applyAlignment="true" applyProtection="false">
      <alignment horizontal="general" vertical="top" textRotation="0" wrapText="false" indent="0" shrinkToFit="false"/>
      <protection locked="true" hidden="false"/>
    </xf>
    <xf numFmtId="164" fontId="8" fillId="13" borderId="11" xfId="20" applyFont="true" applyBorder="true" applyAlignment="true" applyProtection="false">
      <alignment horizontal="general" vertical="top" textRotation="0" wrapText="false" indent="0" shrinkToFit="false"/>
      <protection locked="true" hidden="false"/>
    </xf>
    <xf numFmtId="164" fontId="8" fillId="0" borderId="11" xfId="20" applyFont="true" applyBorder="true" applyAlignment="true" applyProtection="false">
      <alignment horizontal="general" vertical="top" textRotation="0" wrapText="true" indent="0" shrinkToFit="false"/>
      <protection locked="true" hidden="false"/>
    </xf>
    <xf numFmtId="164" fontId="8" fillId="0" borderId="11" xfId="20" applyFont="true" applyBorder="true" applyAlignment="true" applyProtection="false">
      <alignment horizontal="center" vertical="top" textRotation="0" wrapText="false" indent="0" shrinkToFit="false"/>
      <protection locked="true" hidden="false"/>
    </xf>
    <xf numFmtId="164" fontId="13" fillId="7" borderId="12" xfId="20" applyFont="true" applyBorder="true" applyAlignment="true" applyProtection="false">
      <alignment horizontal="general" vertical="center" textRotation="0" wrapText="false" indent="0" shrinkToFit="false"/>
      <protection locked="true" hidden="false"/>
    </xf>
    <xf numFmtId="164" fontId="15" fillId="2" borderId="12" xfId="20" applyFont="true" applyBorder="true" applyAlignment="true" applyProtection="false">
      <alignment horizontal="center" vertical="center" textRotation="0" wrapText="false" indent="0" shrinkToFit="false"/>
      <protection locked="true" hidden="false"/>
    </xf>
    <xf numFmtId="164" fontId="16" fillId="14" borderId="1" xfId="20" applyFont="true" applyBorder="true" applyAlignment="true" applyProtection="false">
      <alignment horizontal="general" vertical="top" textRotation="0" wrapText="true" indent="0" shrinkToFit="false"/>
      <protection locked="true" hidden="false"/>
    </xf>
    <xf numFmtId="164" fontId="16" fillId="15" borderId="1" xfId="20" applyFont="true" applyBorder="true" applyAlignment="true" applyProtection="false">
      <alignment horizontal="general" vertical="top" textRotation="0" wrapText="true" indent="0" shrinkToFit="false"/>
      <protection locked="true" hidden="false"/>
    </xf>
    <xf numFmtId="164" fontId="13" fillId="9" borderId="12" xfId="20" applyFont="true" applyBorder="true" applyAlignment="true" applyProtection="false">
      <alignment horizontal="general" vertical="center" textRotation="0" wrapText="false" indent="0" shrinkToFit="false"/>
      <protection locked="true" hidden="false"/>
    </xf>
    <xf numFmtId="164" fontId="13" fillId="8" borderId="12" xfId="20" applyFont="true" applyBorder="true" applyAlignment="true" applyProtection="false">
      <alignment horizontal="general" vertical="center" textRotation="0" wrapText="false" indent="0" shrinkToFit="false"/>
      <protection locked="true" hidden="false"/>
    </xf>
    <xf numFmtId="164" fontId="13" fillId="10" borderId="12" xfId="20" applyFont="true" applyBorder="true" applyAlignment="true" applyProtection="false">
      <alignment horizontal="general" vertical="center" textRotation="0" wrapText="false" indent="0" shrinkToFit="false"/>
      <protection locked="true" hidden="false"/>
    </xf>
    <xf numFmtId="164" fontId="13" fillId="11" borderId="12" xfId="20" applyFont="true" applyBorder="true" applyAlignment="true" applyProtection="false">
      <alignment horizontal="general" vertical="center" textRotation="0" wrapText="false" indent="0" shrinkToFit="false"/>
      <protection locked="true" hidden="false"/>
    </xf>
    <xf numFmtId="164" fontId="13" fillId="13" borderId="12" xfId="20" applyFont="true" applyBorder="true" applyAlignment="true" applyProtection="false">
      <alignment horizontal="general" vertical="center" textRotation="0" wrapText="false" indent="0" shrinkToFit="false"/>
      <protection locked="true" hidden="false"/>
    </xf>
    <xf numFmtId="164" fontId="16" fillId="5" borderId="1" xfId="20" applyFont="true" applyBorder="true" applyAlignment="true" applyProtection="false">
      <alignment horizontal="general" vertical="top" textRotation="0" wrapText="true" indent="0" shrinkToFit="false"/>
      <protection locked="true" hidden="false"/>
    </xf>
    <xf numFmtId="164" fontId="15" fillId="2" borderId="0" xfId="20" applyFont="true" applyBorder="false" applyAlignment="true" applyProtection="false">
      <alignment horizontal="center" vertical="center" textRotation="0" wrapText="false" indent="0" shrinkToFit="false"/>
      <protection locked="true" hidden="false"/>
    </xf>
    <xf numFmtId="164" fontId="8" fillId="0" borderId="9" xfId="20" applyFont="true" applyBorder="true" applyAlignment="true" applyProtection="false">
      <alignment horizontal="general" vertical="top" textRotation="0" wrapText="true" indent="0" shrinkToFit="false"/>
      <protection locked="true" hidden="false"/>
    </xf>
    <xf numFmtId="164" fontId="8" fillId="0" borderId="13" xfId="20" applyFont="true" applyBorder="true" applyAlignment="true" applyProtection="false">
      <alignment horizontal="general" vertical="top" textRotation="0" wrapText="true" indent="0" shrinkToFit="false"/>
      <protection locked="true" hidden="false"/>
    </xf>
    <xf numFmtId="164" fontId="9" fillId="0" borderId="0" xfId="2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26">
    <dxf>
      <fill>
        <patternFill patternType="solid">
          <fgColor rgb="FF17324D"/>
          <bgColor rgb="FF000000"/>
        </patternFill>
      </fill>
    </dxf>
    <dxf>
      <fill>
        <patternFill patternType="solid">
          <bgColor rgb="FF000000"/>
        </patternFill>
      </fill>
    </dxf>
    <dxf>
      <fill>
        <patternFill patternType="solid">
          <fgColor rgb="FF243442"/>
          <bgColor rgb="FF000000"/>
        </patternFill>
      </fill>
    </dxf>
    <dxf>
      <fill>
        <patternFill patternType="solid">
          <fgColor rgb="FFFFFFFF"/>
          <bgColor rgb="FF000000"/>
        </patternFill>
      </fill>
    </dxf>
    <dxf>
      <fill>
        <patternFill patternType="solid">
          <fgColor rgb="FFE9E1F5"/>
          <bgColor rgb="FF000000"/>
        </patternFill>
      </fill>
    </dxf>
    <dxf>
      <fill>
        <patternFill patternType="solid">
          <fgColor rgb="FFB9DED7"/>
          <bgColor rgb="FF000000"/>
        </patternFill>
      </fill>
    </dxf>
    <dxf>
      <fill>
        <patternFill patternType="solid">
          <fgColor rgb="FFD4E8E6"/>
          <bgColor rgb="FF000000"/>
        </patternFill>
      </fill>
    </dxf>
    <dxf>
      <fill>
        <patternFill patternType="solid">
          <fgColor rgb="FFDCEAF7"/>
          <bgColor rgb="FF000000"/>
        </patternFill>
      </fill>
    </dxf>
    <dxf>
      <fill>
        <patternFill patternType="solid">
          <fgColor rgb="FFDFF1E8"/>
          <bgColor rgb="FF000000"/>
        </patternFill>
      </fill>
    </dxf>
    <dxf>
      <fill>
        <patternFill patternType="solid">
          <fgColor rgb="FFFCE8E6"/>
          <bgColor rgb="FF000000"/>
        </patternFill>
      </fill>
    </dxf>
    <dxf>
      <fill>
        <patternFill patternType="solid">
          <fgColor rgb="FFFDF1D5"/>
          <bgColor rgb="FF000000"/>
        </patternFill>
      </fill>
    </dxf>
    <dxf>
      <fill>
        <patternFill patternType="solid">
          <fgColor rgb="FFDDF2E3"/>
          <bgColor rgb="FF000000"/>
        </patternFill>
      </fill>
    </dxf>
    <dxf>
      <fill>
        <patternFill patternType="solid">
          <fgColor rgb="FFEEF2F5"/>
          <bgColor rgb="FF000000"/>
        </patternFill>
      </fill>
    </dxf>
    <dxf>
      <fill>
        <patternFill patternType="solid">
          <fgColor rgb="FF216E39"/>
          <bgColor rgb="FF000000"/>
        </patternFill>
      </fill>
    </dxf>
    <dxf>
      <fill>
        <patternFill patternType="solid">
          <fgColor rgb="FF566573"/>
          <bgColor rgb="FF000000"/>
        </patternFill>
      </fill>
    </dxf>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19" type="wholeTable"/>
      <tableStyleElement dxfId="20" type="firstColumnStripe"/>
      <tableStyleElement dxfId="21" type="firstRowStripe"/>
      <tableStyleElement dxfId="22" type="lastColumn"/>
      <tableStyleElement dxfId="23" type="firstColumn"/>
      <tableStyleElement dxfId="24" type="headerRow"/>
      <tableStyleElement dxfId="25" type="totalRow"/>
    </tableStyle>
  </tableStyles>
  <colors>
    <indexedColors>
      <rgbColor rgb="FF000000"/>
      <rgbColor rgb="FFFFFFFF"/>
      <rgbColor rgb="FFFF0000"/>
      <rgbColor rgb="FF00FF00"/>
      <rgbColor rgb="FF0000FF"/>
      <rgbColor rgb="FFFDF1D5"/>
      <rgbColor rgb="FFFF00FF"/>
      <rgbColor rgb="FF00FFFF"/>
      <rgbColor rgb="FF800000"/>
      <rgbColor rgb="FF216E39"/>
      <rgbColor rgb="FF000080"/>
      <rgbColor rgb="FF805B00"/>
      <rgbColor rgb="FF800080"/>
      <rgbColor rgb="FF2B7A78"/>
      <rgbColor rgb="FFAAB7C2"/>
      <rgbColor rgb="FF7B8794"/>
      <rgbColor rgb="FFDDE3E8"/>
      <rgbColor rgb="FF993366"/>
      <rgbColor rgb="FFFFF7E6"/>
      <rgbColor rgb="FFDFF1E8"/>
      <rgbColor rgb="FF660066"/>
      <rgbColor rgb="FFF3EEF9"/>
      <rgbColor rgb="FF0066CC"/>
      <rgbColor rgb="FFC9D3DC"/>
      <rgbColor rgb="FF000080"/>
      <rgbColor rgb="FFFF00FF"/>
      <rgbColor rgb="FFFCE8E6"/>
      <rgbColor rgb="FF00FFFF"/>
      <rgbColor rgb="FF800080"/>
      <rgbColor rgb="FF800000"/>
      <rgbColor rgb="FF156082"/>
      <rgbColor rgb="FF0000FF"/>
      <rgbColor rgb="FF00CCFF"/>
      <rgbColor rgb="FFDCEAF7"/>
      <rgbColor rgb="FFDDF2E3"/>
      <rgbColor rgb="FFFFF1C7"/>
      <rgbColor rgb="FFB9DED7"/>
      <rgbColor rgb="FFFADBD8"/>
      <rgbColor rgb="FFE9E1F5"/>
      <rgbColor rgb="FFE8C980"/>
      <rgbColor rgb="FF3366FF"/>
      <rgbColor rgb="FF46B1E1"/>
      <rgbColor rgb="FFF3F6F8"/>
      <rgbColor rgb="FFEEF2F5"/>
      <rgbColor rgb="FFF7F9FA"/>
      <rgbColor rgb="FFFF6600"/>
      <rgbColor rgb="FF566573"/>
      <rgbColor rgb="FFD4E8E6"/>
      <rgbColor rgb="FF17324D"/>
      <rgbColor rgb="FF339966"/>
      <rgbColor rgb="FF003300"/>
      <rgbColor rgb="FF5A4625"/>
      <rgbColor rgb="FFA61B1B"/>
      <rgbColor rgb="FF993366"/>
      <rgbColor rgb="FF1F4E5F"/>
      <rgbColor rgb="FF2434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24D"/>
    <pageSetUpPr fitToPage="false"/>
  </sheetPr>
  <dimension ref="A2:H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8" min="1" style="0" width="18"/>
  </cols>
  <sheetData>
    <row r="2" customFormat="false" ht="19.7" hidden="false" customHeight="false" outlineLevel="0" collapsed="false">
      <c r="A2" s="1" t="s">
        <v>0</v>
      </c>
      <c r="B2" s="1"/>
      <c r="C2" s="1"/>
      <c r="D2" s="1"/>
      <c r="E2" s="1"/>
      <c r="F2" s="1"/>
      <c r="G2" s="1"/>
      <c r="H2" s="1"/>
    </row>
    <row r="3" customFormat="false" ht="15" hidden="false" customHeight="false" outlineLevel="0" collapsed="false">
      <c r="A3" s="2" t="s">
        <v>1</v>
      </c>
      <c r="B3" s="2"/>
      <c r="C3" s="2"/>
      <c r="D3" s="2"/>
      <c r="E3" s="2"/>
      <c r="F3" s="2"/>
      <c r="G3" s="2"/>
      <c r="H3" s="2"/>
    </row>
    <row r="5" customFormat="false" ht="22" hidden="false" customHeight="true" outlineLevel="0" collapsed="false">
      <c r="A5" s="3" t="s">
        <v>2</v>
      </c>
      <c r="B5" s="3"/>
      <c r="C5" s="3"/>
      <c r="D5" s="3"/>
      <c r="E5" s="3"/>
      <c r="F5" s="3"/>
      <c r="G5" s="3"/>
      <c r="H5" s="3"/>
    </row>
    <row r="6" customFormat="false" ht="22" hidden="false" customHeight="true" outlineLevel="0" collapsed="false">
      <c r="A6" s="4" t="s">
        <v>3</v>
      </c>
      <c r="B6" s="4"/>
      <c r="C6" s="4"/>
      <c r="D6" s="4"/>
      <c r="E6" s="4"/>
      <c r="F6" s="4"/>
      <c r="G6" s="4"/>
      <c r="H6" s="4"/>
    </row>
    <row r="7" customFormat="false" ht="22" hidden="false" customHeight="true" outlineLevel="0" collapsed="false">
      <c r="A7" s="4"/>
      <c r="B7" s="4"/>
      <c r="C7" s="4"/>
      <c r="D7" s="4"/>
      <c r="E7" s="4"/>
      <c r="F7" s="4"/>
      <c r="G7" s="4"/>
      <c r="H7" s="4"/>
    </row>
    <row r="8" customFormat="false" ht="22" hidden="false" customHeight="true" outlineLevel="0" collapsed="false">
      <c r="A8" s="4"/>
      <c r="B8" s="4"/>
      <c r="C8" s="4"/>
      <c r="D8" s="4"/>
      <c r="E8" s="4"/>
      <c r="F8" s="4"/>
      <c r="G8" s="4"/>
      <c r="H8" s="4"/>
    </row>
    <row r="9" customFormat="false" ht="22" hidden="false" customHeight="true" outlineLevel="0" collapsed="false">
      <c r="A9" s="4"/>
      <c r="B9" s="4"/>
      <c r="C9" s="4"/>
      <c r="D9" s="4"/>
      <c r="E9" s="4"/>
      <c r="F9" s="4"/>
      <c r="G9" s="4"/>
      <c r="H9" s="4"/>
    </row>
    <row r="10" customFormat="false" ht="22" hidden="false" customHeight="true" outlineLevel="0" collapsed="false">
      <c r="A10" s="4"/>
      <c r="B10" s="4"/>
      <c r="C10" s="4"/>
      <c r="D10" s="4"/>
      <c r="E10" s="4"/>
      <c r="F10" s="4"/>
      <c r="G10" s="4"/>
      <c r="H10" s="4"/>
    </row>
    <row r="11" customFormat="false" ht="22" hidden="false" customHeight="true" outlineLevel="0" collapsed="false"/>
    <row r="12" customFormat="false" ht="22" hidden="false" customHeight="true" outlineLevel="0" collapsed="false">
      <c r="A12" s="3" t="s">
        <v>4</v>
      </c>
      <c r="B12" s="3"/>
      <c r="C12" s="3"/>
      <c r="D12" s="3"/>
      <c r="E12" s="3"/>
      <c r="F12" s="3"/>
      <c r="G12" s="3"/>
      <c r="H12" s="3"/>
    </row>
    <row r="13" customFormat="false" ht="22" hidden="false" customHeight="true" outlineLevel="0" collapsed="false">
      <c r="A13" s="4" t="s">
        <v>5</v>
      </c>
      <c r="B13" s="4"/>
      <c r="C13" s="4"/>
      <c r="D13" s="4"/>
      <c r="E13" s="4"/>
      <c r="F13" s="4"/>
      <c r="G13" s="4"/>
      <c r="H13" s="4"/>
    </row>
    <row r="14" customFormat="false" ht="22" hidden="false" customHeight="true" outlineLevel="0" collapsed="false">
      <c r="A14" s="4"/>
      <c r="B14" s="4"/>
      <c r="C14" s="4"/>
      <c r="D14" s="4"/>
      <c r="E14" s="4"/>
      <c r="F14" s="4"/>
      <c r="G14" s="4"/>
      <c r="H14" s="4"/>
    </row>
    <row r="15" customFormat="false" ht="22" hidden="false" customHeight="true" outlineLevel="0" collapsed="false">
      <c r="A15" s="4"/>
      <c r="B15" s="4"/>
      <c r="C15" s="4"/>
      <c r="D15" s="4"/>
      <c r="E15" s="4"/>
      <c r="F15" s="4"/>
      <c r="G15" s="4"/>
      <c r="H15" s="4"/>
    </row>
    <row r="16" customFormat="false" ht="22" hidden="false" customHeight="true" outlineLevel="0" collapsed="false">
      <c r="A16" s="4"/>
      <c r="B16" s="4"/>
      <c r="C16" s="4"/>
      <c r="D16" s="4"/>
      <c r="E16" s="4"/>
      <c r="F16" s="4"/>
      <c r="G16" s="4"/>
      <c r="H16" s="4"/>
    </row>
    <row r="17" customFormat="false" ht="22" hidden="false" customHeight="true" outlineLevel="0" collapsed="false">
      <c r="A17" s="4"/>
      <c r="B17" s="4"/>
      <c r="C17" s="4"/>
      <c r="D17" s="4"/>
      <c r="E17" s="4"/>
      <c r="F17" s="4"/>
      <c r="G17" s="4"/>
      <c r="H17" s="4"/>
    </row>
    <row r="18" customFormat="false" ht="22" hidden="false" customHeight="true" outlineLevel="0" collapsed="false"/>
    <row r="19" customFormat="false" ht="22" hidden="false" customHeight="true" outlineLevel="0" collapsed="false">
      <c r="A19" s="3" t="s">
        <v>6</v>
      </c>
      <c r="B19" s="3"/>
      <c r="C19" s="3"/>
      <c r="D19" s="3"/>
      <c r="E19" s="3"/>
      <c r="F19" s="3"/>
      <c r="G19" s="3"/>
      <c r="H19" s="3"/>
    </row>
    <row r="20" customFormat="false" ht="22" hidden="false" customHeight="true" outlineLevel="0" collapsed="false">
      <c r="A20" s="4" t="s">
        <v>7</v>
      </c>
      <c r="B20" s="4"/>
      <c r="C20" s="4"/>
      <c r="D20" s="4"/>
      <c r="E20" s="4"/>
      <c r="F20" s="4"/>
      <c r="G20" s="4"/>
      <c r="H20" s="4"/>
    </row>
    <row r="21" customFormat="false" ht="22" hidden="false" customHeight="true" outlineLevel="0" collapsed="false">
      <c r="A21" s="4"/>
      <c r="B21" s="4"/>
      <c r="C21" s="4"/>
      <c r="D21" s="4"/>
      <c r="E21" s="4"/>
      <c r="F21" s="4"/>
      <c r="G21" s="4"/>
      <c r="H21" s="4"/>
    </row>
    <row r="22" customFormat="false" ht="22" hidden="false" customHeight="true" outlineLevel="0" collapsed="false">
      <c r="A22" s="4"/>
      <c r="B22" s="4"/>
      <c r="C22" s="4"/>
      <c r="D22" s="4"/>
      <c r="E22" s="4"/>
      <c r="F22" s="4"/>
      <c r="G22" s="4"/>
      <c r="H22" s="4"/>
    </row>
    <row r="23" customFormat="false" ht="22" hidden="false" customHeight="true" outlineLevel="0" collapsed="false">
      <c r="A23" s="4"/>
      <c r="B23" s="4"/>
      <c r="C23" s="4"/>
      <c r="D23" s="4"/>
      <c r="E23" s="4"/>
      <c r="F23" s="4"/>
      <c r="G23" s="4"/>
      <c r="H23" s="4"/>
    </row>
    <row r="24" customFormat="false" ht="22" hidden="false" customHeight="true" outlineLevel="0" collapsed="false">
      <c r="A24" s="4"/>
      <c r="B24" s="4"/>
      <c r="C24" s="4"/>
      <c r="D24" s="4"/>
      <c r="E24" s="4"/>
      <c r="F24" s="4"/>
      <c r="G24" s="4"/>
      <c r="H24" s="4"/>
    </row>
    <row r="25" customFormat="false" ht="22" hidden="false" customHeight="true" outlineLevel="0" collapsed="false"/>
    <row r="26" customFormat="false" ht="22" hidden="false" customHeight="true" outlineLevel="0" collapsed="false">
      <c r="A26" s="3" t="s">
        <v>8</v>
      </c>
      <c r="B26" s="3"/>
      <c r="C26" s="3"/>
      <c r="D26" s="3"/>
      <c r="E26" s="3"/>
      <c r="F26" s="3"/>
      <c r="G26" s="3"/>
      <c r="H26" s="3"/>
    </row>
    <row r="27" customFormat="false" ht="22" hidden="false" customHeight="true" outlineLevel="0" collapsed="false">
      <c r="A27" s="4" t="s">
        <v>9</v>
      </c>
      <c r="B27" s="4"/>
      <c r="C27" s="4"/>
      <c r="D27" s="4"/>
      <c r="E27" s="4"/>
      <c r="F27" s="4"/>
      <c r="G27" s="4"/>
      <c r="H27" s="4"/>
    </row>
    <row r="28" customFormat="false" ht="22" hidden="false" customHeight="true" outlineLevel="0" collapsed="false">
      <c r="A28" s="4"/>
      <c r="B28" s="4"/>
      <c r="C28" s="4"/>
      <c r="D28" s="4"/>
      <c r="E28" s="4"/>
      <c r="F28" s="4"/>
      <c r="G28" s="4"/>
      <c r="H28" s="4"/>
    </row>
    <row r="29" customFormat="false" ht="22" hidden="false" customHeight="true" outlineLevel="0" collapsed="false">
      <c r="A29" s="4"/>
      <c r="B29" s="4"/>
      <c r="C29" s="4"/>
      <c r="D29" s="4"/>
      <c r="E29" s="4"/>
      <c r="F29" s="4"/>
      <c r="G29" s="4"/>
      <c r="H29" s="4"/>
    </row>
    <row r="30" customFormat="false" ht="22" hidden="false" customHeight="true" outlineLevel="0" collapsed="false">
      <c r="A30" s="4"/>
      <c r="B30" s="4"/>
      <c r="C30" s="4"/>
      <c r="D30" s="4"/>
      <c r="E30" s="4"/>
      <c r="F30" s="4"/>
      <c r="G30" s="4"/>
      <c r="H30" s="4"/>
    </row>
    <row r="31" customFormat="false" ht="22" hidden="false" customHeight="true" outlineLevel="0" collapsed="false">
      <c r="A31" s="4"/>
      <c r="B31" s="4"/>
      <c r="C31" s="4"/>
      <c r="D31" s="4"/>
      <c r="E31" s="4"/>
      <c r="F31" s="4"/>
      <c r="G31" s="4"/>
      <c r="H31" s="4"/>
    </row>
    <row r="32" customFormat="false" ht="22" hidden="false" customHeight="true" outlineLevel="0" collapsed="false"/>
    <row r="33" customFormat="false" ht="22" hidden="false" customHeight="true" outlineLevel="0" collapsed="false">
      <c r="A33" s="3" t="s">
        <v>10</v>
      </c>
      <c r="B33" s="3"/>
      <c r="C33" s="3"/>
      <c r="D33" s="3"/>
      <c r="E33" s="3"/>
      <c r="F33" s="3"/>
      <c r="G33" s="3"/>
      <c r="H33" s="3"/>
    </row>
    <row r="34" customFormat="false" ht="22" hidden="false" customHeight="true" outlineLevel="0" collapsed="false">
      <c r="A34" s="4" t="s">
        <v>11</v>
      </c>
      <c r="B34" s="4"/>
      <c r="C34" s="4"/>
      <c r="D34" s="4"/>
      <c r="E34" s="4"/>
      <c r="F34" s="4"/>
      <c r="G34" s="4"/>
      <c r="H34" s="4"/>
    </row>
    <row r="35" customFormat="false" ht="22" hidden="false" customHeight="true" outlineLevel="0" collapsed="false">
      <c r="A35" s="4"/>
      <c r="B35" s="4"/>
      <c r="C35" s="4"/>
      <c r="D35" s="4"/>
      <c r="E35" s="4"/>
      <c r="F35" s="4"/>
      <c r="G35" s="4"/>
      <c r="H35" s="4"/>
    </row>
    <row r="36" customFormat="false" ht="22" hidden="false" customHeight="true" outlineLevel="0" collapsed="false">
      <c r="A36" s="4"/>
      <c r="B36" s="4"/>
      <c r="C36" s="4"/>
      <c r="D36" s="4"/>
      <c r="E36" s="4"/>
      <c r="F36" s="4"/>
      <c r="G36" s="4"/>
      <c r="H36" s="4"/>
    </row>
    <row r="37" customFormat="false" ht="22" hidden="false" customHeight="true" outlineLevel="0" collapsed="false">
      <c r="A37" s="4"/>
      <c r="B37" s="4"/>
      <c r="C37" s="4"/>
      <c r="D37" s="4"/>
      <c r="E37" s="4"/>
      <c r="F37" s="4"/>
      <c r="G37" s="4"/>
      <c r="H37" s="4"/>
    </row>
    <row r="38" customFormat="false" ht="22" hidden="false" customHeight="true" outlineLevel="0" collapsed="false">
      <c r="A38" s="4"/>
      <c r="B38" s="4"/>
      <c r="C38" s="4"/>
      <c r="D38" s="4"/>
      <c r="E38" s="4"/>
      <c r="F38" s="4"/>
      <c r="G38" s="4"/>
      <c r="H38" s="4"/>
    </row>
    <row r="39" customFormat="false" ht="22" hidden="false" customHeight="true" outlineLevel="0" collapsed="false"/>
    <row r="40" customFormat="false" ht="22" hidden="false" customHeight="true" outlineLevel="0" collapsed="false">
      <c r="A40" s="3" t="s">
        <v>12</v>
      </c>
      <c r="B40" s="3"/>
      <c r="C40" s="3"/>
      <c r="D40" s="3"/>
      <c r="E40" s="3"/>
      <c r="F40" s="3"/>
      <c r="G40" s="3"/>
      <c r="H40" s="3"/>
    </row>
    <row r="41" customFormat="false" ht="22" hidden="false" customHeight="true" outlineLevel="0" collapsed="false">
      <c r="A41" s="4" t="s">
        <v>13</v>
      </c>
      <c r="B41" s="4"/>
      <c r="C41" s="4"/>
      <c r="D41" s="4"/>
      <c r="E41" s="4"/>
      <c r="F41" s="4"/>
      <c r="G41" s="4"/>
      <c r="H41" s="4"/>
    </row>
    <row r="42" customFormat="false" ht="22" hidden="false" customHeight="true" outlineLevel="0" collapsed="false">
      <c r="A42" s="4"/>
      <c r="B42" s="4"/>
      <c r="C42" s="4"/>
      <c r="D42" s="4"/>
      <c r="E42" s="4"/>
      <c r="F42" s="4"/>
      <c r="G42" s="4"/>
      <c r="H42" s="4"/>
    </row>
    <row r="43" customFormat="false" ht="22" hidden="false" customHeight="true" outlineLevel="0" collapsed="false">
      <c r="A43" s="4"/>
      <c r="B43" s="4"/>
      <c r="C43" s="4"/>
      <c r="D43" s="4"/>
      <c r="E43" s="4"/>
      <c r="F43" s="4"/>
      <c r="G43" s="4"/>
      <c r="H43" s="4"/>
    </row>
    <row r="44" customFormat="false" ht="22" hidden="false" customHeight="true" outlineLevel="0" collapsed="false">
      <c r="A44" s="4"/>
      <c r="B44" s="4"/>
      <c r="C44" s="4"/>
      <c r="D44" s="4"/>
      <c r="E44" s="4"/>
      <c r="F44" s="4"/>
      <c r="G44" s="4"/>
      <c r="H44" s="4"/>
    </row>
    <row r="45" customFormat="false" ht="22" hidden="false" customHeight="true" outlineLevel="0" collapsed="false">
      <c r="A45" s="4"/>
      <c r="B45" s="4"/>
      <c r="C45" s="4"/>
      <c r="D45" s="4"/>
      <c r="E45" s="4"/>
      <c r="F45" s="4"/>
      <c r="G45" s="4"/>
      <c r="H45" s="4"/>
    </row>
    <row r="46" customFormat="false" ht="22" hidden="false" customHeight="true" outlineLevel="0" collapsed="false"/>
    <row r="47" customFormat="false" ht="22" hidden="false" customHeight="true" outlineLevel="0" collapsed="false">
      <c r="A47" s="3" t="s">
        <v>14</v>
      </c>
      <c r="B47" s="3"/>
      <c r="C47" s="3"/>
      <c r="D47" s="3"/>
      <c r="E47" s="3"/>
      <c r="F47" s="3"/>
      <c r="G47" s="3"/>
      <c r="H47" s="3"/>
    </row>
    <row r="48" customFormat="false" ht="22" hidden="false" customHeight="true" outlineLevel="0" collapsed="false">
      <c r="A48" s="4" t="s">
        <v>15</v>
      </c>
      <c r="B48" s="4"/>
      <c r="C48" s="4"/>
      <c r="D48" s="4"/>
      <c r="E48" s="4"/>
      <c r="F48" s="4"/>
      <c r="G48" s="4"/>
      <c r="H48" s="4"/>
    </row>
    <row r="49" customFormat="false" ht="22" hidden="false" customHeight="true" outlineLevel="0" collapsed="false">
      <c r="A49" s="4"/>
      <c r="B49" s="4"/>
      <c r="C49" s="4"/>
      <c r="D49" s="4"/>
      <c r="E49" s="4"/>
      <c r="F49" s="4"/>
      <c r="G49" s="4"/>
      <c r="H49" s="4"/>
    </row>
    <row r="50" customFormat="false" ht="22" hidden="false" customHeight="true" outlineLevel="0" collapsed="false">
      <c r="A50" s="4"/>
      <c r="B50" s="4"/>
      <c r="C50" s="4"/>
      <c r="D50" s="4"/>
      <c r="E50" s="4"/>
      <c r="F50" s="4"/>
      <c r="G50" s="4"/>
      <c r="H50" s="4"/>
    </row>
    <row r="51" customFormat="false" ht="22" hidden="false" customHeight="true" outlineLevel="0" collapsed="false">
      <c r="A51" s="4"/>
      <c r="B51" s="4"/>
      <c r="C51" s="4"/>
      <c r="D51" s="4"/>
      <c r="E51" s="4"/>
      <c r="F51" s="4"/>
      <c r="G51" s="4"/>
      <c r="H51" s="4"/>
    </row>
    <row r="52" customFormat="false" ht="22" hidden="false" customHeight="true" outlineLevel="0" collapsed="false">
      <c r="A52" s="4"/>
      <c r="B52" s="4"/>
      <c r="C52" s="4"/>
      <c r="D52" s="4"/>
      <c r="E52" s="4"/>
      <c r="F52" s="4"/>
      <c r="G52" s="4"/>
      <c r="H52" s="4"/>
    </row>
    <row r="54" customFormat="false" ht="229.85" hidden="false" customHeight="false" outlineLevel="0" collapsed="false">
      <c r="A54" s="5" t="s">
        <v>16</v>
      </c>
    </row>
  </sheetData>
  <mergeCells count="16">
    <mergeCell ref="A2:H2"/>
    <mergeCell ref="A3:H3"/>
    <mergeCell ref="A5:H5"/>
    <mergeCell ref="A6:H10"/>
    <mergeCell ref="A12:H12"/>
    <mergeCell ref="A13:H17"/>
    <mergeCell ref="A19:H19"/>
    <mergeCell ref="A20:H24"/>
    <mergeCell ref="A26:H26"/>
    <mergeCell ref="A27:H31"/>
    <mergeCell ref="A33:H33"/>
    <mergeCell ref="A34:H38"/>
    <mergeCell ref="A40:H40"/>
    <mergeCell ref="A41:H45"/>
    <mergeCell ref="A47:H47"/>
    <mergeCell ref="A48:H5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3" min="3" style="0" width="110"/>
    <col collapsed="false" customWidth="true" hidden="false" outlineLevel="0" max="4" min="4" style="0" width="26"/>
    <col collapsed="false" customWidth="true" hidden="false" outlineLevel="0" max="5" min="5" style="0" width="12"/>
  </cols>
  <sheetData>
    <row r="1" customFormat="false" ht="16.15" hidden="false" customHeight="false" outlineLevel="0" collapsed="false">
      <c r="A1" s="6" t="s">
        <v>17</v>
      </c>
    </row>
    <row r="2" customFormat="false" ht="15" hidden="false" customHeight="false" outlineLevel="0" collapsed="false">
      <c r="A2" s="0" t="s">
        <v>18</v>
      </c>
    </row>
    <row r="4" customFormat="false" ht="15" hidden="false" customHeight="false" outlineLevel="0" collapsed="false">
      <c r="A4" s="7" t="s">
        <v>19</v>
      </c>
      <c r="B4" s="7" t="s">
        <v>20</v>
      </c>
      <c r="C4" s="7" t="s">
        <v>21</v>
      </c>
      <c r="D4" s="7" t="s">
        <v>22</v>
      </c>
      <c r="E4" s="7" t="s">
        <v>23</v>
      </c>
    </row>
    <row r="5" customFormat="false" ht="15" hidden="false" customHeight="false" outlineLevel="0" collapsed="false">
      <c r="A5" s="8" t="s">
        <v>24</v>
      </c>
      <c r="B5" s="8" t="s">
        <v>25</v>
      </c>
      <c r="C5" s="8" t="s">
        <v>26</v>
      </c>
      <c r="D5" s="8" t="s">
        <v>27</v>
      </c>
      <c r="E5" s="8" t="s">
        <v>28</v>
      </c>
    </row>
    <row r="6" customFormat="false" ht="23.85" hidden="false" customHeight="false" outlineLevel="0" collapsed="false">
      <c r="A6" s="8" t="s">
        <v>29</v>
      </c>
      <c r="B6" s="8" t="s">
        <v>30</v>
      </c>
      <c r="C6" s="8" t="s">
        <v>31</v>
      </c>
      <c r="D6" s="8" t="s">
        <v>32</v>
      </c>
      <c r="E6" s="8" t="s">
        <v>33</v>
      </c>
    </row>
    <row r="7" customFormat="false" ht="23.85" hidden="false" customHeight="false" outlineLevel="0" collapsed="false">
      <c r="A7" s="8" t="s">
        <v>34</v>
      </c>
      <c r="B7" s="8" t="s">
        <v>35</v>
      </c>
      <c r="C7" s="8" t="s">
        <v>36</v>
      </c>
      <c r="D7" s="8" t="s">
        <v>32</v>
      </c>
      <c r="E7" s="8" t="s">
        <v>37</v>
      </c>
    </row>
    <row r="8" customFormat="false" ht="23.85" hidden="false" customHeight="false" outlineLevel="0" collapsed="false">
      <c r="A8" s="8" t="s">
        <v>38</v>
      </c>
      <c r="B8" s="8" t="s">
        <v>39</v>
      </c>
      <c r="C8" s="8" t="s">
        <v>40</v>
      </c>
      <c r="D8" s="8" t="s">
        <v>32</v>
      </c>
      <c r="E8" s="8" t="s">
        <v>41</v>
      </c>
    </row>
    <row r="9" customFormat="false" ht="23.85" hidden="false" customHeight="false" outlineLevel="0" collapsed="false">
      <c r="A9" s="8" t="s">
        <v>42</v>
      </c>
      <c r="B9" s="8" t="s">
        <v>43</v>
      </c>
      <c r="C9" s="8" t="s">
        <v>44</v>
      </c>
      <c r="D9" s="8" t="s">
        <v>32</v>
      </c>
      <c r="E9" s="8" t="s">
        <v>45</v>
      </c>
    </row>
    <row r="10" customFormat="false" ht="292.5" hidden="false" customHeight="false" outlineLevel="0" collapsed="false">
      <c r="A10" s="8" t="s">
        <v>46</v>
      </c>
      <c r="B10" s="8" t="s">
        <v>47</v>
      </c>
      <c r="C10" s="8" t="s">
        <v>48</v>
      </c>
      <c r="D10" s="8" t="s">
        <v>49</v>
      </c>
      <c r="E10" s="8" t="s">
        <v>50</v>
      </c>
    </row>
    <row r="11" customFormat="false" ht="57.45" hidden="false" customHeight="false" outlineLevel="0" collapsed="false">
      <c r="A11" s="8" t="s">
        <v>51</v>
      </c>
      <c r="B11" s="8" t="s">
        <v>52</v>
      </c>
      <c r="C11" s="8" t="s">
        <v>53</v>
      </c>
      <c r="D11" s="8" t="s">
        <v>32</v>
      </c>
      <c r="E11" s="8" t="s">
        <v>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8"/>
    <col collapsed="false" customWidth="true" hidden="false" outlineLevel="0" max="4" min="4" style="0" width="55"/>
    <col collapsed="false" customWidth="true" hidden="false" outlineLevel="0" max="5" min="5" style="0" width="70"/>
    <col collapsed="false" customWidth="true" hidden="false" outlineLevel="0" max="6" min="6" style="0" width="55"/>
    <col collapsed="false" customWidth="true" hidden="false" outlineLevel="0" max="7" min="7" style="0" width="16"/>
    <col collapsed="false" customWidth="true" hidden="false" outlineLevel="0" max="8" min="8" style="0" width="18"/>
    <col collapsed="false" customWidth="true" hidden="false" outlineLevel="0" max="9" min="9" style="0" width="10"/>
    <col collapsed="false" customWidth="true" hidden="false" outlineLevel="0" max="10" min="10" style="0" width="8"/>
    <col collapsed="false" customWidth="true" hidden="false" outlineLevel="0" max="11" min="11" style="0" width="12"/>
    <col collapsed="false" customWidth="true" hidden="false" outlineLevel="0" max="12" min="12" style="0" width="40"/>
    <col collapsed="false" customWidth="true" hidden="false" outlineLevel="0" max="13" min="13" style="0" width="14"/>
  </cols>
  <sheetData>
    <row r="1" customFormat="false" ht="16.15" hidden="false" customHeight="false" outlineLevel="0" collapsed="false">
      <c r="A1" s="6" t="s">
        <v>55</v>
      </c>
    </row>
    <row r="2" customFormat="false" ht="15" hidden="false" customHeight="false" outlineLevel="0" collapsed="false">
      <c r="A2" s="0" t="s">
        <v>56</v>
      </c>
    </row>
    <row r="3" customFormat="false" ht="15" hidden="false" customHeight="false" outlineLevel="0" collapsed="false">
      <c r="O3" s="0" t="s">
        <v>57</v>
      </c>
      <c r="P3" s="0" t="n">
        <f aca="false">COUNTA(A5:A37)</f>
        <v>33</v>
      </c>
    </row>
    <row r="4" customFormat="false" ht="39.55" hidden="false" customHeight="false" outlineLevel="0" collapsed="false">
      <c r="A4" s="7" t="s">
        <v>58</v>
      </c>
      <c r="B4" s="7" t="s">
        <v>59</v>
      </c>
      <c r="C4" s="7" t="s">
        <v>60</v>
      </c>
      <c r="D4" s="7" t="s">
        <v>61</v>
      </c>
      <c r="E4" s="7" t="s">
        <v>62</v>
      </c>
      <c r="F4" s="7" t="s">
        <v>63</v>
      </c>
      <c r="G4" s="7" t="s">
        <v>64</v>
      </c>
      <c r="H4" s="7" t="s">
        <v>65</v>
      </c>
      <c r="I4" s="7" t="s">
        <v>66</v>
      </c>
      <c r="J4" s="7" t="s">
        <v>67</v>
      </c>
      <c r="K4" s="7" t="s">
        <v>68</v>
      </c>
      <c r="L4" s="7" t="s">
        <v>69</v>
      </c>
      <c r="M4" s="7" t="s">
        <v>70</v>
      </c>
      <c r="O4" s="0" t="s">
        <v>32</v>
      </c>
      <c r="P4" s="0" t="n">
        <f aca="false">COUNTIF(K5:K37,"Done")</f>
        <v>2</v>
      </c>
    </row>
    <row r="5" customFormat="false" ht="202.95" hidden="false" customHeight="false" outlineLevel="0" collapsed="false">
      <c r="A5" s="9" t="n">
        <v>46296</v>
      </c>
      <c r="B5" s="8" t="s">
        <v>71</v>
      </c>
      <c r="C5" s="8" t="s">
        <v>72</v>
      </c>
      <c r="D5" s="8" t="s">
        <v>73</v>
      </c>
      <c r="E5" s="8" t="s">
        <v>74</v>
      </c>
      <c r="F5" s="8" t="s">
        <v>75</v>
      </c>
      <c r="G5" s="8" t="s">
        <v>76</v>
      </c>
      <c r="H5" s="8" t="s">
        <v>77</v>
      </c>
      <c r="I5" s="8" t="n">
        <v>0</v>
      </c>
      <c r="J5" s="8" t="s">
        <v>78</v>
      </c>
      <c r="K5" s="8" t="s">
        <v>32</v>
      </c>
      <c r="L5" s="8" t="s">
        <v>79</v>
      </c>
      <c r="M5" s="8" t="s">
        <v>80</v>
      </c>
      <c r="O5" s="0" t="s">
        <v>81</v>
      </c>
      <c r="P5" s="0" t="n">
        <f aca="false">COUNTIF(K5:K37,"Blocked")</f>
        <v>0</v>
      </c>
    </row>
    <row r="6" customFormat="false" ht="135.8" hidden="false" customHeight="false" outlineLevel="0" collapsed="false">
      <c r="A6" s="9" t="n">
        <v>46297</v>
      </c>
      <c r="B6" s="8" t="s">
        <v>82</v>
      </c>
      <c r="C6" s="8" t="s">
        <v>72</v>
      </c>
      <c r="D6" s="8" t="s">
        <v>83</v>
      </c>
      <c r="E6" s="8" t="s">
        <v>84</v>
      </c>
      <c r="F6" s="8" t="s">
        <v>85</v>
      </c>
      <c r="G6" s="8" t="s">
        <v>86</v>
      </c>
      <c r="H6" s="8" t="s">
        <v>77</v>
      </c>
      <c r="I6" s="8" t="n">
        <v>0</v>
      </c>
      <c r="J6" s="8" t="s">
        <v>78</v>
      </c>
      <c r="K6" s="8" t="s">
        <v>32</v>
      </c>
      <c r="L6" s="8" t="s">
        <v>87</v>
      </c>
      <c r="M6" s="8" t="s">
        <v>88</v>
      </c>
      <c r="O6" s="0" t="s">
        <v>89</v>
      </c>
      <c r="P6" s="10" t="n">
        <f aca="false">IFERROR(P4/P3,0)</f>
        <v>0.0606060606060606</v>
      </c>
    </row>
    <row r="7" customFormat="false" ht="236.55" hidden="false" customHeight="false" outlineLevel="0" collapsed="false">
      <c r="A7" s="9" t="n">
        <v>46298</v>
      </c>
      <c r="B7" s="8" t="s">
        <v>90</v>
      </c>
      <c r="C7" s="8" t="s">
        <v>72</v>
      </c>
      <c r="D7" s="8" t="s">
        <v>91</v>
      </c>
      <c r="E7" s="8" t="s">
        <v>92</v>
      </c>
      <c r="F7" s="8" t="s">
        <v>93</v>
      </c>
      <c r="G7" s="8" t="s">
        <v>94</v>
      </c>
      <c r="H7" s="8" t="s">
        <v>95</v>
      </c>
      <c r="I7" s="8" t="n">
        <v>75</v>
      </c>
      <c r="J7" s="8" t="s">
        <v>78</v>
      </c>
      <c r="K7" s="8" t="s">
        <v>96</v>
      </c>
      <c r="L7" s="8" t="s">
        <v>97</v>
      </c>
      <c r="M7" s="8" t="s">
        <v>98</v>
      </c>
    </row>
    <row r="8" customFormat="false" ht="202.95" hidden="false" customHeight="false" outlineLevel="0" collapsed="false">
      <c r="A8" s="9" t="n">
        <v>46299</v>
      </c>
      <c r="B8" s="8" t="s">
        <v>99</v>
      </c>
      <c r="C8" s="8" t="s">
        <v>72</v>
      </c>
      <c r="D8" s="8" t="s">
        <v>100</v>
      </c>
      <c r="E8" s="8" t="s">
        <v>101</v>
      </c>
      <c r="F8" s="8" t="s">
        <v>102</v>
      </c>
      <c r="G8" s="8" t="s">
        <v>94</v>
      </c>
      <c r="H8" s="8" t="s">
        <v>77</v>
      </c>
      <c r="I8" s="8" t="n">
        <v>0</v>
      </c>
      <c r="J8" s="8" t="s">
        <v>78</v>
      </c>
      <c r="K8" s="8" t="s">
        <v>96</v>
      </c>
      <c r="L8" s="8"/>
      <c r="M8" s="8" t="s">
        <v>103</v>
      </c>
    </row>
    <row r="9" customFormat="false" ht="35.05" hidden="false" customHeight="false" outlineLevel="0" collapsed="false">
      <c r="A9" s="9" t="n">
        <v>46300</v>
      </c>
      <c r="B9" s="8" t="s">
        <v>104</v>
      </c>
      <c r="C9" s="8" t="s">
        <v>72</v>
      </c>
      <c r="D9" s="8" t="s">
        <v>105</v>
      </c>
      <c r="E9" s="8" t="s">
        <v>106</v>
      </c>
      <c r="F9" s="8" t="s">
        <v>107</v>
      </c>
      <c r="G9" s="8" t="s">
        <v>108</v>
      </c>
      <c r="H9" s="8" t="s">
        <v>109</v>
      </c>
      <c r="I9" s="8" t="n">
        <v>20</v>
      </c>
      <c r="J9" s="8" t="s">
        <v>78</v>
      </c>
      <c r="K9" s="8" t="s">
        <v>96</v>
      </c>
      <c r="L9" s="8"/>
      <c r="M9" s="8" t="s">
        <v>110</v>
      </c>
    </row>
    <row r="10" customFormat="false" ht="124.6" hidden="false" customHeight="false" outlineLevel="0" collapsed="false">
      <c r="A10" s="9" t="n">
        <v>46301</v>
      </c>
      <c r="B10" s="8" t="s">
        <v>111</v>
      </c>
      <c r="C10" s="8" t="s">
        <v>112</v>
      </c>
      <c r="D10" s="8" t="s">
        <v>113</v>
      </c>
      <c r="E10" s="8" t="s">
        <v>114</v>
      </c>
      <c r="F10" s="8" t="s">
        <v>115</v>
      </c>
      <c r="G10" s="8" t="s">
        <v>116</v>
      </c>
      <c r="H10" s="8" t="s">
        <v>77</v>
      </c>
      <c r="I10" s="8" t="n">
        <v>0</v>
      </c>
      <c r="J10" s="8" t="s">
        <v>78</v>
      </c>
      <c r="K10" s="8" t="s">
        <v>117</v>
      </c>
      <c r="L10" s="8" t="s">
        <v>118</v>
      </c>
      <c r="M10" s="8" t="s">
        <v>119</v>
      </c>
    </row>
    <row r="11" customFormat="false" ht="79.85" hidden="false" customHeight="false" outlineLevel="0" collapsed="false">
      <c r="A11" s="9" t="n">
        <v>46302</v>
      </c>
      <c r="B11" s="8" t="s">
        <v>120</v>
      </c>
      <c r="C11" s="8" t="s">
        <v>112</v>
      </c>
      <c r="D11" s="8" t="s">
        <v>121</v>
      </c>
      <c r="E11" s="8" t="s">
        <v>122</v>
      </c>
      <c r="F11" s="8" t="s">
        <v>123</v>
      </c>
      <c r="G11" s="8" t="s">
        <v>116</v>
      </c>
      <c r="H11" s="8" t="s">
        <v>77</v>
      </c>
      <c r="I11" s="8" t="n">
        <v>0</v>
      </c>
      <c r="J11" s="8" t="s">
        <v>78</v>
      </c>
      <c r="K11" s="8" t="s">
        <v>96</v>
      </c>
      <c r="L11" s="8"/>
      <c r="M11" s="8" t="s">
        <v>124</v>
      </c>
    </row>
    <row r="12" customFormat="false" ht="23.85" hidden="false" customHeight="false" outlineLevel="0" collapsed="false">
      <c r="A12" s="9" t="n">
        <v>46303</v>
      </c>
      <c r="B12" s="8" t="s">
        <v>71</v>
      </c>
      <c r="C12" s="8" t="s">
        <v>112</v>
      </c>
      <c r="D12" s="8" t="s">
        <v>125</v>
      </c>
      <c r="E12" s="8" t="s">
        <v>126</v>
      </c>
      <c r="F12" s="8" t="s">
        <v>127</v>
      </c>
      <c r="G12" s="8" t="s">
        <v>86</v>
      </c>
      <c r="H12" s="8" t="s">
        <v>77</v>
      </c>
      <c r="I12" s="8" t="n">
        <v>0</v>
      </c>
      <c r="J12" s="8" t="s">
        <v>78</v>
      </c>
      <c r="K12" s="8" t="s">
        <v>96</v>
      </c>
      <c r="L12" s="8"/>
      <c r="M12" s="8" t="s">
        <v>128</v>
      </c>
    </row>
    <row r="13" customFormat="false" ht="46.25" hidden="false" customHeight="false" outlineLevel="0" collapsed="false">
      <c r="A13" s="9" t="n">
        <v>46304</v>
      </c>
      <c r="B13" s="8" t="s">
        <v>82</v>
      </c>
      <c r="C13" s="8" t="s">
        <v>112</v>
      </c>
      <c r="D13" s="8" t="s">
        <v>129</v>
      </c>
      <c r="E13" s="8" t="s">
        <v>130</v>
      </c>
      <c r="F13" s="8" t="s">
        <v>131</v>
      </c>
      <c r="G13" s="8" t="s">
        <v>116</v>
      </c>
      <c r="H13" s="8" t="s">
        <v>77</v>
      </c>
      <c r="I13" s="8" t="n">
        <v>0</v>
      </c>
      <c r="J13" s="8" t="s">
        <v>78</v>
      </c>
      <c r="K13" s="8" t="s">
        <v>96</v>
      </c>
      <c r="L13" s="8"/>
      <c r="M13" s="8" t="s">
        <v>132</v>
      </c>
    </row>
    <row r="14" customFormat="false" ht="46.25" hidden="false" customHeight="false" outlineLevel="0" collapsed="false">
      <c r="A14" s="9" t="n">
        <v>46305</v>
      </c>
      <c r="B14" s="8" t="s">
        <v>90</v>
      </c>
      <c r="C14" s="8" t="s">
        <v>112</v>
      </c>
      <c r="D14" s="8" t="s">
        <v>133</v>
      </c>
      <c r="E14" s="8" t="s">
        <v>134</v>
      </c>
      <c r="F14" s="8" t="s">
        <v>135</v>
      </c>
      <c r="G14" s="8" t="s">
        <v>94</v>
      </c>
      <c r="H14" s="8" t="s">
        <v>136</v>
      </c>
      <c r="I14" s="8" t="n">
        <v>85</v>
      </c>
      <c r="J14" s="8" t="s">
        <v>78</v>
      </c>
      <c r="K14" s="8" t="s">
        <v>96</v>
      </c>
      <c r="L14" s="8"/>
      <c r="M14" s="8" t="s">
        <v>137</v>
      </c>
    </row>
    <row r="15" customFormat="false" ht="35.05" hidden="false" customHeight="false" outlineLevel="0" collapsed="false">
      <c r="A15" s="9" t="n">
        <v>46306</v>
      </c>
      <c r="B15" s="8" t="s">
        <v>99</v>
      </c>
      <c r="C15" s="8" t="s">
        <v>112</v>
      </c>
      <c r="D15" s="8" t="s">
        <v>138</v>
      </c>
      <c r="E15" s="8" t="s">
        <v>139</v>
      </c>
      <c r="F15" s="8" t="s">
        <v>140</v>
      </c>
      <c r="G15" s="8" t="s">
        <v>94</v>
      </c>
      <c r="H15" s="8" t="s">
        <v>77</v>
      </c>
      <c r="I15" s="8" t="n">
        <v>0</v>
      </c>
      <c r="J15" s="8" t="s">
        <v>78</v>
      </c>
      <c r="K15" s="8" t="s">
        <v>96</v>
      </c>
      <c r="L15" s="8"/>
      <c r="M15" s="8" t="s">
        <v>141</v>
      </c>
    </row>
    <row r="16" customFormat="false" ht="68.65" hidden="false" customHeight="false" outlineLevel="0" collapsed="false">
      <c r="A16" s="9" t="n">
        <v>46307</v>
      </c>
      <c r="B16" s="8" t="s">
        <v>104</v>
      </c>
      <c r="C16" s="8" t="s">
        <v>142</v>
      </c>
      <c r="D16" s="8" t="s">
        <v>143</v>
      </c>
      <c r="E16" s="8" t="s">
        <v>144</v>
      </c>
      <c r="F16" s="8" t="s">
        <v>145</v>
      </c>
      <c r="G16" s="8" t="s">
        <v>116</v>
      </c>
      <c r="H16" s="8" t="s">
        <v>77</v>
      </c>
      <c r="I16" s="8" t="n">
        <v>0</v>
      </c>
      <c r="J16" s="8" t="s">
        <v>78</v>
      </c>
      <c r="K16" s="8" t="s">
        <v>96</v>
      </c>
      <c r="L16" s="8"/>
      <c r="M16" s="8" t="s">
        <v>146</v>
      </c>
    </row>
    <row r="17" customFormat="false" ht="46.25" hidden="false" customHeight="false" outlineLevel="0" collapsed="false">
      <c r="A17" s="9" t="n">
        <v>46308</v>
      </c>
      <c r="B17" s="8" t="s">
        <v>111</v>
      </c>
      <c r="C17" s="8" t="s">
        <v>142</v>
      </c>
      <c r="D17" s="8" t="s">
        <v>147</v>
      </c>
      <c r="E17" s="8" t="s">
        <v>148</v>
      </c>
      <c r="F17" s="8" t="s">
        <v>149</v>
      </c>
      <c r="G17" s="8" t="s">
        <v>116</v>
      </c>
      <c r="H17" s="8" t="s">
        <v>77</v>
      </c>
      <c r="I17" s="8" t="n">
        <v>0</v>
      </c>
      <c r="J17" s="8" t="s">
        <v>78</v>
      </c>
      <c r="K17" s="8" t="s">
        <v>96</v>
      </c>
      <c r="L17" s="8"/>
      <c r="M17" s="8" t="s">
        <v>150</v>
      </c>
    </row>
    <row r="18" customFormat="false" ht="68.65" hidden="false" customHeight="false" outlineLevel="0" collapsed="false">
      <c r="A18" s="9" t="n">
        <v>46309</v>
      </c>
      <c r="B18" s="8" t="s">
        <v>120</v>
      </c>
      <c r="C18" s="8" t="s">
        <v>142</v>
      </c>
      <c r="D18" s="8" t="s">
        <v>151</v>
      </c>
      <c r="E18" s="8" t="s">
        <v>152</v>
      </c>
      <c r="F18" s="8" t="s">
        <v>153</v>
      </c>
      <c r="G18" s="8" t="s">
        <v>116</v>
      </c>
      <c r="H18" s="8" t="s">
        <v>77</v>
      </c>
      <c r="I18" s="8" t="n">
        <v>0</v>
      </c>
      <c r="J18" s="8" t="s">
        <v>78</v>
      </c>
      <c r="K18" s="8" t="s">
        <v>96</v>
      </c>
      <c r="L18" s="8"/>
      <c r="M18" s="8" t="s">
        <v>154</v>
      </c>
    </row>
    <row r="19" customFormat="false" ht="23.85" hidden="false" customHeight="false" outlineLevel="0" collapsed="false">
      <c r="A19" s="9" t="n">
        <v>46310</v>
      </c>
      <c r="B19" s="8" t="s">
        <v>71</v>
      </c>
      <c r="C19" s="8" t="s">
        <v>142</v>
      </c>
      <c r="D19" s="8" t="s">
        <v>155</v>
      </c>
      <c r="E19" s="8" t="s">
        <v>156</v>
      </c>
      <c r="F19" s="8" t="s">
        <v>157</v>
      </c>
      <c r="G19" s="8" t="s">
        <v>116</v>
      </c>
      <c r="H19" s="8" t="s">
        <v>77</v>
      </c>
      <c r="I19" s="8" t="n">
        <v>0</v>
      </c>
      <c r="J19" s="8" t="s">
        <v>78</v>
      </c>
      <c r="K19" s="8" t="s">
        <v>96</v>
      </c>
      <c r="L19" s="8"/>
      <c r="M19" s="8" t="s">
        <v>158</v>
      </c>
    </row>
    <row r="20" customFormat="false" ht="113.4" hidden="false" customHeight="false" outlineLevel="0" collapsed="false">
      <c r="A20" s="9" t="n">
        <v>46311</v>
      </c>
      <c r="B20" s="8" t="s">
        <v>82</v>
      </c>
      <c r="C20" s="8" t="s">
        <v>142</v>
      </c>
      <c r="D20" s="8" t="s">
        <v>159</v>
      </c>
      <c r="E20" s="8" t="s">
        <v>160</v>
      </c>
      <c r="F20" s="8" t="s">
        <v>161</v>
      </c>
      <c r="G20" s="8" t="s">
        <v>116</v>
      </c>
      <c r="H20" s="8" t="s">
        <v>77</v>
      </c>
      <c r="I20" s="8" t="n">
        <v>0</v>
      </c>
      <c r="J20" s="8" t="s">
        <v>78</v>
      </c>
      <c r="K20" s="8" t="s">
        <v>96</v>
      </c>
      <c r="L20" s="8"/>
      <c r="M20" s="8" t="s">
        <v>162</v>
      </c>
    </row>
    <row r="21" customFormat="false" ht="35.05" hidden="false" customHeight="false" outlineLevel="0" collapsed="false">
      <c r="A21" s="9" t="n">
        <v>46312</v>
      </c>
      <c r="B21" s="8" t="s">
        <v>90</v>
      </c>
      <c r="C21" s="8" t="s">
        <v>112</v>
      </c>
      <c r="D21" s="8" t="s">
        <v>163</v>
      </c>
      <c r="E21" s="8" t="s">
        <v>164</v>
      </c>
      <c r="F21" s="8" t="s">
        <v>165</v>
      </c>
      <c r="G21" s="8" t="s">
        <v>94</v>
      </c>
      <c r="H21" s="8" t="s">
        <v>77</v>
      </c>
      <c r="I21" s="8" t="n">
        <v>0</v>
      </c>
      <c r="J21" s="8" t="s">
        <v>78</v>
      </c>
      <c r="K21" s="8" t="s">
        <v>96</v>
      </c>
      <c r="L21" s="8"/>
      <c r="M21" s="8" t="s">
        <v>166</v>
      </c>
    </row>
    <row r="22" customFormat="false" ht="91" hidden="false" customHeight="false" outlineLevel="0" collapsed="false">
      <c r="A22" s="9" t="n">
        <v>46313</v>
      </c>
      <c r="B22" s="8" t="s">
        <v>99</v>
      </c>
      <c r="C22" s="8" t="s">
        <v>142</v>
      </c>
      <c r="D22" s="8" t="s">
        <v>167</v>
      </c>
      <c r="E22" s="8" t="s">
        <v>168</v>
      </c>
      <c r="F22" s="8" t="s">
        <v>169</v>
      </c>
      <c r="G22" s="8" t="s">
        <v>94</v>
      </c>
      <c r="H22" s="8" t="s">
        <v>77</v>
      </c>
      <c r="I22" s="8" t="n">
        <v>0</v>
      </c>
      <c r="J22" s="8" t="s">
        <v>78</v>
      </c>
      <c r="K22" s="8" t="s">
        <v>96</v>
      </c>
      <c r="L22" s="8"/>
      <c r="M22" s="8" t="s">
        <v>170</v>
      </c>
    </row>
    <row r="23" customFormat="false" ht="68.65" hidden="false" customHeight="false" outlineLevel="0" collapsed="false">
      <c r="A23" s="9" t="n">
        <v>46314</v>
      </c>
      <c r="B23" s="8" t="s">
        <v>104</v>
      </c>
      <c r="C23" s="8" t="s">
        <v>142</v>
      </c>
      <c r="D23" s="8" t="s">
        <v>171</v>
      </c>
      <c r="E23" s="8" t="s">
        <v>172</v>
      </c>
      <c r="F23" s="8" t="s">
        <v>173</v>
      </c>
      <c r="G23" s="8" t="s">
        <v>116</v>
      </c>
      <c r="H23" s="8" t="s">
        <v>77</v>
      </c>
      <c r="I23" s="8" t="n">
        <v>0</v>
      </c>
      <c r="J23" s="8" t="s">
        <v>78</v>
      </c>
      <c r="K23" s="8" t="s">
        <v>96</v>
      </c>
      <c r="L23" s="8"/>
      <c r="M23" s="8" t="s">
        <v>174</v>
      </c>
    </row>
    <row r="24" customFormat="false" ht="57.45" hidden="false" customHeight="false" outlineLevel="0" collapsed="false">
      <c r="A24" s="9" t="n">
        <v>46315</v>
      </c>
      <c r="B24" s="8" t="s">
        <v>111</v>
      </c>
      <c r="C24" s="8" t="s">
        <v>142</v>
      </c>
      <c r="D24" s="8" t="s">
        <v>175</v>
      </c>
      <c r="E24" s="8" t="s">
        <v>176</v>
      </c>
      <c r="F24" s="8" t="s">
        <v>177</v>
      </c>
      <c r="G24" s="8" t="s">
        <v>116</v>
      </c>
      <c r="H24" s="8" t="s">
        <v>77</v>
      </c>
      <c r="I24" s="8" t="n">
        <v>0</v>
      </c>
      <c r="J24" s="8" t="s">
        <v>78</v>
      </c>
      <c r="K24" s="8" t="s">
        <v>96</v>
      </c>
      <c r="L24" s="8"/>
      <c r="M24" s="8" t="s">
        <v>174</v>
      </c>
    </row>
    <row r="25" customFormat="false" ht="135.8" hidden="false" customHeight="false" outlineLevel="0" collapsed="false">
      <c r="A25" s="9" t="n">
        <v>46316</v>
      </c>
      <c r="B25" s="8" t="s">
        <v>120</v>
      </c>
      <c r="C25" s="8" t="s">
        <v>178</v>
      </c>
      <c r="D25" s="8" t="s">
        <v>179</v>
      </c>
      <c r="E25" s="8" t="s">
        <v>180</v>
      </c>
      <c r="F25" s="8" t="s">
        <v>181</v>
      </c>
      <c r="G25" s="8" t="s">
        <v>116</v>
      </c>
      <c r="H25" s="8" t="s">
        <v>77</v>
      </c>
      <c r="I25" s="8" t="n">
        <v>0</v>
      </c>
      <c r="J25" s="8" t="s">
        <v>78</v>
      </c>
      <c r="K25" s="8" t="s">
        <v>117</v>
      </c>
      <c r="L25" s="8" t="s">
        <v>182</v>
      </c>
      <c r="M25" s="8" t="s">
        <v>183</v>
      </c>
    </row>
    <row r="26" customFormat="false" ht="135.8" hidden="false" customHeight="false" outlineLevel="0" collapsed="false">
      <c r="A26" s="9" t="n">
        <v>46317</v>
      </c>
      <c r="B26" s="8" t="s">
        <v>71</v>
      </c>
      <c r="C26" s="8" t="s">
        <v>178</v>
      </c>
      <c r="D26" s="8" t="s">
        <v>184</v>
      </c>
      <c r="E26" s="8" t="s">
        <v>185</v>
      </c>
      <c r="F26" s="8" t="s">
        <v>186</v>
      </c>
      <c r="G26" s="8" t="s">
        <v>86</v>
      </c>
      <c r="H26" s="8" t="s">
        <v>77</v>
      </c>
      <c r="I26" s="8" t="n">
        <v>0</v>
      </c>
      <c r="J26" s="8" t="s">
        <v>78</v>
      </c>
      <c r="K26" s="8" t="s">
        <v>117</v>
      </c>
      <c r="L26" s="8" t="s">
        <v>187</v>
      </c>
      <c r="M26" s="8" t="s">
        <v>188</v>
      </c>
    </row>
    <row r="27" customFormat="false" ht="135.8" hidden="false" customHeight="false" outlineLevel="0" collapsed="false">
      <c r="A27" s="9" t="n">
        <v>46318</v>
      </c>
      <c r="B27" s="8" t="s">
        <v>82</v>
      </c>
      <c r="C27" s="8" t="s">
        <v>178</v>
      </c>
      <c r="D27" s="8" t="s">
        <v>189</v>
      </c>
      <c r="E27" s="8" t="s">
        <v>190</v>
      </c>
      <c r="F27" s="8" t="str">
        <f aca="false">HYPERLINK("https://www.yourownworld.co.uk/pricing/?billing_test=aa89da09f1e82b6c1645732759eef068409979cec453eefe","Open private billing test page — complete guided test payments and verify app access after each event.")</f>
        <v>Open private billing test page — complete guided test payments and verify app access after each event.</v>
      </c>
      <c r="G27" s="8" t="s">
        <v>108</v>
      </c>
      <c r="H27" s="8" t="s">
        <v>77</v>
      </c>
      <c r="I27" s="8" t="n">
        <v>0</v>
      </c>
      <c r="J27" s="8" t="s">
        <v>78</v>
      </c>
      <c r="K27" s="8" t="s">
        <v>117</v>
      </c>
      <c r="L27" s="8" t="s">
        <v>191</v>
      </c>
      <c r="M27" s="8" t="s">
        <v>192</v>
      </c>
    </row>
    <row r="28" customFormat="false" ht="79.85" hidden="false" customHeight="false" outlineLevel="0" collapsed="false">
      <c r="A28" s="9" t="n">
        <v>46319</v>
      </c>
      <c r="B28" s="8" t="s">
        <v>90</v>
      </c>
      <c r="C28" s="8" t="s">
        <v>178</v>
      </c>
      <c r="D28" s="8" t="s">
        <v>193</v>
      </c>
      <c r="E28" s="8" t="s">
        <v>194</v>
      </c>
      <c r="F28" s="8" t="s">
        <v>195</v>
      </c>
      <c r="G28" s="8" t="s">
        <v>94</v>
      </c>
      <c r="H28" s="8" t="s">
        <v>196</v>
      </c>
      <c r="I28" s="8" t="n">
        <v>125</v>
      </c>
      <c r="J28" s="8" t="s">
        <v>78</v>
      </c>
      <c r="K28" s="8" t="s">
        <v>96</v>
      </c>
      <c r="L28" s="8"/>
      <c r="M28" s="8" t="s">
        <v>197</v>
      </c>
    </row>
    <row r="29" customFormat="false" ht="35.05" hidden="false" customHeight="false" outlineLevel="0" collapsed="false">
      <c r="A29" s="9" t="n">
        <v>46320</v>
      </c>
      <c r="B29" s="8" t="s">
        <v>99</v>
      </c>
      <c r="C29" s="8" t="s">
        <v>198</v>
      </c>
      <c r="D29" s="8" t="s">
        <v>199</v>
      </c>
      <c r="E29" s="8" t="s">
        <v>77</v>
      </c>
      <c r="F29" s="8" t="s">
        <v>200</v>
      </c>
      <c r="G29" s="8" t="s">
        <v>94</v>
      </c>
      <c r="H29" s="8" t="s">
        <v>201</v>
      </c>
      <c r="I29" s="8" t="n">
        <v>185</v>
      </c>
      <c r="J29" s="8" t="s">
        <v>78</v>
      </c>
      <c r="K29" s="8" t="s">
        <v>96</v>
      </c>
      <c r="L29" s="8"/>
      <c r="M29" s="8" t="s">
        <v>202</v>
      </c>
    </row>
    <row r="30" customFormat="false" ht="23.85" hidden="false" customHeight="false" outlineLevel="0" collapsed="false">
      <c r="A30" s="9" t="n">
        <v>46321</v>
      </c>
      <c r="B30" s="8" t="s">
        <v>104</v>
      </c>
      <c r="C30" s="8" t="s">
        <v>198</v>
      </c>
      <c r="D30" s="8" t="s">
        <v>203</v>
      </c>
      <c r="E30" s="8" t="s">
        <v>77</v>
      </c>
      <c r="F30" s="8" t="s">
        <v>204</v>
      </c>
      <c r="G30" s="8" t="s">
        <v>108</v>
      </c>
      <c r="H30" s="8" t="s">
        <v>77</v>
      </c>
      <c r="I30" s="8" t="n">
        <v>110</v>
      </c>
      <c r="J30" s="8" t="s">
        <v>78</v>
      </c>
      <c r="K30" s="8" t="s">
        <v>96</v>
      </c>
      <c r="L30" s="8"/>
      <c r="M30" s="8" t="s">
        <v>202</v>
      </c>
    </row>
    <row r="31" customFormat="false" ht="23.85" hidden="false" customHeight="false" outlineLevel="0" collapsed="false">
      <c r="A31" s="9" t="n">
        <v>46322</v>
      </c>
      <c r="B31" s="8" t="s">
        <v>111</v>
      </c>
      <c r="C31" s="8" t="s">
        <v>198</v>
      </c>
      <c r="D31" s="8" t="s">
        <v>205</v>
      </c>
      <c r="E31" s="8" t="s">
        <v>77</v>
      </c>
      <c r="F31" s="8" t="s">
        <v>204</v>
      </c>
      <c r="G31" s="8" t="s">
        <v>108</v>
      </c>
      <c r="H31" s="8" t="s">
        <v>77</v>
      </c>
      <c r="I31" s="8" t="n">
        <v>110</v>
      </c>
      <c r="J31" s="8" t="s">
        <v>78</v>
      </c>
      <c r="K31" s="8" t="s">
        <v>96</v>
      </c>
      <c r="L31" s="8"/>
      <c r="M31" s="8" t="s">
        <v>202</v>
      </c>
    </row>
    <row r="32" customFormat="false" ht="23.85" hidden="false" customHeight="false" outlineLevel="0" collapsed="false">
      <c r="A32" s="9" t="n">
        <v>46323</v>
      </c>
      <c r="B32" s="8" t="s">
        <v>120</v>
      </c>
      <c r="C32" s="8" t="s">
        <v>198</v>
      </c>
      <c r="D32" s="8" t="s">
        <v>206</v>
      </c>
      <c r="E32" s="8" t="s">
        <v>77</v>
      </c>
      <c r="F32" s="8" t="s">
        <v>204</v>
      </c>
      <c r="G32" s="8" t="s">
        <v>108</v>
      </c>
      <c r="H32" s="8" t="s">
        <v>77</v>
      </c>
      <c r="I32" s="8" t="n">
        <v>110</v>
      </c>
      <c r="J32" s="8" t="s">
        <v>78</v>
      </c>
      <c r="K32" s="8" t="s">
        <v>96</v>
      </c>
      <c r="L32" s="8"/>
      <c r="M32" s="8" t="s">
        <v>202</v>
      </c>
    </row>
    <row r="33" customFormat="false" ht="35.05" hidden="false" customHeight="false" outlineLevel="0" collapsed="false">
      <c r="A33" s="9" t="n">
        <v>46324</v>
      </c>
      <c r="B33" s="8" t="s">
        <v>71</v>
      </c>
      <c r="C33" s="8" t="s">
        <v>198</v>
      </c>
      <c r="D33" s="8" t="s">
        <v>207</v>
      </c>
      <c r="E33" s="8" t="s">
        <v>77</v>
      </c>
      <c r="F33" s="8" t="s">
        <v>208</v>
      </c>
      <c r="G33" s="8" t="s">
        <v>108</v>
      </c>
      <c r="H33" s="8" t="s">
        <v>77</v>
      </c>
      <c r="I33" s="8" t="n">
        <v>110</v>
      </c>
      <c r="J33" s="8" t="s">
        <v>78</v>
      </c>
      <c r="K33" s="8" t="s">
        <v>96</v>
      </c>
      <c r="L33" s="8"/>
      <c r="M33" s="8" t="s">
        <v>202</v>
      </c>
    </row>
    <row r="34" customFormat="false" ht="35.05" hidden="false" customHeight="false" outlineLevel="0" collapsed="false">
      <c r="A34" s="9" t="n">
        <v>46325</v>
      </c>
      <c r="B34" s="8" t="s">
        <v>82</v>
      </c>
      <c r="C34" s="8" t="s">
        <v>178</v>
      </c>
      <c r="D34" s="8" t="s">
        <v>209</v>
      </c>
      <c r="E34" s="8" t="s">
        <v>210</v>
      </c>
      <c r="F34" s="8" t="s">
        <v>211</v>
      </c>
      <c r="G34" s="8" t="s">
        <v>212</v>
      </c>
      <c r="H34" s="8" t="s">
        <v>77</v>
      </c>
      <c r="I34" s="8" t="n">
        <v>0</v>
      </c>
      <c r="J34" s="8" t="s">
        <v>78</v>
      </c>
      <c r="K34" s="8" t="s">
        <v>96</v>
      </c>
      <c r="L34" s="8"/>
      <c r="M34" s="8" t="s">
        <v>213</v>
      </c>
    </row>
    <row r="35" customFormat="false" ht="35.05" hidden="false" customHeight="false" outlineLevel="0" collapsed="false">
      <c r="A35" s="9" t="n">
        <v>46326</v>
      </c>
      <c r="B35" s="8" t="s">
        <v>90</v>
      </c>
      <c r="C35" s="8" t="s">
        <v>178</v>
      </c>
      <c r="D35" s="8" t="s">
        <v>214</v>
      </c>
      <c r="E35" s="8" t="s">
        <v>215</v>
      </c>
      <c r="F35" s="8" t="s">
        <v>216</v>
      </c>
      <c r="G35" s="8" t="s">
        <v>94</v>
      </c>
      <c r="H35" s="8" t="s">
        <v>77</v>
      </c>
      <c r="I35" s="8" t="n">
        <v>0</v>
      </c>
      <c r="J35" s="8" t="s">
        <v>78</v>
      </c>
      <c r="K35" s="8" t="s">
        <v>96</v>
      </c>
      <c r="L35" s="8"/>
      <c r="M35" s="8" t="s">
        <v>217</v>
      </c>
    </row>
    <row r="36" customFormat="false" ht="35.05" hidden="false" customHeight="false" outlineLevel="0" collapsed="false">
      <c r="A36" s="9" t="n">
        <v>46327</v>
      </c>
      <c r="B36" s="8" t="s">
        <v>99</v>
      </c>
      <c r="C36" s="8" t="s">
        <v>218</v>
      </c>
      <c r="D36" s="8" t="s">
        <v>219</v>
      </c>
      <c r="E36" s="8" t="s">
        <v>220</v>
      </c>
      <c r="F36" s="8" t="s">
        <v>221</v>
      </c>
      <c r="G36" s="8" t="s">
        <v>94</v>
      </c>
      <c r="H36" s="8" t="s">
        <v>222</v>
      </c>
      <c r="I36" s="8" t="n">
        <v>0</v>
      </c>
      <c r="J36" s="8" t="s">
        <v>78</v>
      </c>
      <c r="K36" s="8" t="s">
        <v>96</v>
      </c>
      <c r="L36" s="8"/>
      <c r="M36" s="8" t="s">
        <v>223</v>
      </c>
    </row>
    <row r="37" customFormat="false" ht="35.05" hidden="false" customHeight="false" outlineLevel="0" collapsed="false">
      <c r="A37" s="9" t="n">
        <v>46328</v>
      </c>
      <c r="B37" s="8" t="s">
        <v>104</v>
      </c>
      <c r="C37" s="8" t="s">
        <v>224</v>
      </c>
      <c r="D37" s="8" t="s">
        <v>225</v>
      </c>
      <c r="E37" s="8" t="s">
        <v>226</v>
      </c>
      <c r="F37" s="8" t="s">
        <v>227</v>
      </c>
      <c r="G37" s="8" t="s">
        <v>116</v>
      </c>
      <c r="H37" s="8" t="s">
        <v>77</v>
      </c>
      <c r="I37" s="8" t="n">
        <v>0</v>
      </c>
      <c r="J37" s="8" t="s">
        <v>78</v>
      </c>
      <c r="K37" s="8" t="s">
        <v>96</v>
      </c>
      <c r="L37" s="8"/>
      <c r="M37" s="8" t="s">
        <v>228</v>
      </c>
    </row>
  </sheetData>
  <dataValidations count="1">
    <dataValidation allowBlank="true" errorStyle="stop" operator="between" showDropDown="false" showErrorMessage="false" showInputMessage="false" sqref="K5:K37" type="list">
      <formula1>"Not started,In progress,Done,Blocked"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7A78"/>
    <pageSetUpPr fitToPage="false"/>
  </sheetPr>
  <dimension ref="A2: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22"/>
    <col collapsed="false" customWidth="true" hidden="false" outlineLevel="0" max="4" min="4" style="0" width="82"/>
    <col collapsed="false" customWidth="true" hidden="false" outlineLevel="0" max="5" min="5" style="0" width="72"/>
    <col collapsed="false" customWidth="true" hidden="false" outlineLevel="0" max="6" min="6" style="0" width="21"/>
    <col collapsed="false" customWidth="true" hidden="false" outlineLevel="0" max="7" min="7" style="0" width="44"/>
    <col collapsed="false" customWidth="true" hidden="false" outlineLevel="0" max="8" min="8" style="0" width="12"/>
    <col collapsed="false" customWidth="true" hidden="false" outlineLevel="0" max="9" min="9" style="0" width="15"/>
    <col collapsed="false" customWidth="true" hidden="false" outlineLevel="0" max="10" min="10" style="0" width="34"/>
  </cols>
  <sheetData>
    <row r="2" customFormat="false" ht="19.7" hidden="false" customHeight="false" outlineLevel="0" collapsed="false">
      <c r="A2" s="1" t="s">
        <v>229</v>
      </c>
      <c r="B2" s="1"/>
      <c r="C2" s="1"/>
      <c r="D2" s="1"/>
      <c r="E2" s="1"/>
      <c r="F2" s="1"/>
      <c r="G2" s="1"/>
      <c r="H2" s="1"/>
      <c r="I2" s="1"/>
      <c r="J2" s="1"/>
    </row>
    <row r="3" customFormat="false" ht="15" hidden="false" customHeight="false" outlineLevel="0" collapsed="false">
      <c r="A3" s="2" t="s">
        <v>230</v>
      </c>
      <c r="B3" s="2"/>
      <c r="C3" s="2"/>
      <c r="D3" s="2"/>
      <c r="E3" s="2"/>
      <c r="F3" s="2"/>
      <c r="G3" s="2"/>
      <c r="H3" s="2"/>
      <c r="I3" s="2"/>
      <c r="J3" s="2"/>
    </row>
    <row r="5" customFormat="false" ht="15" hidden="false" customHeight="false" outlineLevel="0" collapsed="false">
      <c r="A5" s="11" t="s">
        <v>57</v>
      </c>
      <c r="B5" s="12" t="n">
        <f aca="false">COUNTA(A11:A46)</f>
        <v>36</v>
      </c>
      <c r="D5" s="13" t="s">
        <v>231</v>
      </c>
      <c r="E5" s="13"/>
      <c r="F5" s="13"/>
      <c r="G5" s="13"/>
      <c r="H5" s="13"/>
      <c r="I5" s="13"/>
      <c r="J5" s="13"/>
    </row>
    <row r="6" customFormat="false" ht="15" hidden="false" customHeight="true" outlineLevel="0" collapsed="false">
      <c r="A6" s="14" t="s">
        <v>32</v>
      </c>
      <c r="B6" s="15" t="n">
        <f aca="false">COUNTIF(I11:I46,"Done")</f>
        <v>8</v>
      </c>
      <c r="D6" s="16" t="s">
        <v>232</v>
      </c>
      <c r="E6" s="16"/>
      <c r="F6" s="16"/>
      <c r="G6" s="16"/>
      <c r="H6" s="16"/>
      <c r="I6" s="16"/>
      <c r="J6" s="16"/>
    </row>
    <row r="7" customFormat="false" ht="15" hidden="false" customHeight="false" outlineLevel="0" collapsed="false">
      <c r="A7" s="14" t="s">
        <v>233</v>
      </c>
      <c r="B7" s="15" t="n">
        <f aca="false">B5-B6</f>
        <v>28</v>
      </c>
      <c r="D7" s="16"/>
      <c r="E7" s="16"/>
      <c r="F7" s="16"/>
      <c r="G7" s="16"/>
      <c r="H7" s="16"/>
      <c r="I7" s="16"/>
      <c r="J7" s="16"/>
    </row>
    <row r="8" customFormat="false" ht="15" hidden="false" customHeight="false" outlineLevel="0" collapsed="false">
      <c r="A8" s="14" t="s">
        <v>81</v>
      </c>
      <c r="B8" s="15" t="n">
        <f aca="false">COUNTIF(I11:I46,"Blocked")</f>
        <v>0</v>
      </c>
      <c r="D8" s="16"/>
      <c r="E8" s="16"/>
      <c r="F8" s="16"/>
      <c r="G8" s="16"/>
      <c r="H8" s="16"/>
      <c r="I8" s="16"/>
      <c r="J8" s="16"/>
    </row>
    <row r="9" customFormat="false" ht="15" hidden="false" customHeight="false" outlineLevel="0" collapsed="false">
      <c r="A9" s="17" t="s">
        <v>89</v>
      </c>
      <c r="B9" s="18" t="n">
        <f aca="false">IFERROR(B6/B5,0)</f>
        <v>0.222222222222222</v>
      </c>
      <c r="D9" s="16"/>
      <c r="E9" s="16"/>
      <c r="F9" s="16"/>
      <c r="G9" s="16"/>
      <c r="H9" s="16"/>
      <c r="I9" s="16"/>
      <c r="J9" s="16"/>
    </row>
    <row r="10" customFormat="false" ht="36" hidden="false" customHeight="true" outlineLevel="0" collapsed="false">
      <c r="A10" s="19" t="s">
        <v>58</v>
      </c>
      <c r="B10" s="19" t="s">
        <v>59</v>
      </c>
      <c r="C10" s="19" t="s">
        <v>60</v>
      </c>
      <c r="D10" s="19" t="s">
        <v>234</v>
      </c>
      <c r="E10" s="19" t="s">
        <v>235</v>
      </c>
      <c r="F10" s="19" t="s">
        <v>236</v>
      </c>
      <c r="G10" s="19" t="s">
        <v>237</v>
      </c>
      <c r="H10" s="19" t="s">
        <v>67</v>
      </c>
      <c r="I10" s="19" t="s">
        <v>68</v>
      </c>
      <c r="J10" s="19" t="s">
        <v>69</v>
      </c>
    </row>
    <row r="11" customFormat="false" ht="168" hidden="false" customHeight="true" outlineLevel="0" collapsed="false">
      <c r="A11" s="20" t="n">
        <v>46293.5</v>
      </c>
      <c r="B11" s="21" t="s">
        <v>238</v>
      </c>
      <c r="C11" s="22" t="s">
        <v>239</v>
      </c>
      <c r="D11" s="23" t="s">
        <v>240</v>
      </c>
      <c r="E11" s="23" t="s">
        <v>241</v>
      </c>
      <c r="F11" s="23" t="s">
        <v>242</v>
      </c>
      <c r="G11" s="23" t="s">
        <v>243</v>
      </c>
      <c r="H11" s="24" t="s">
        <v>78</v>
      </c>
      <c r="I11" s="24" t="s">
        <v>32</v>
      </c>
      <c r="J11" s="23" t="s">
        <v>244</v>
      </c>
    </row>
    <row r="12" customFormat="false" ht="168" hidden="false" customHeight="true" outlineLevel="0" collapsed="false">
      <c r="A12" s="20" t="n">
        <v>46294.5</v>
      </c>
      <c r="B12" s="21" t="s">
        <v>238</v>
      </c>
      <c r="C12" s="22" t="s">
        <v>239</v>
      </c>
      <c r="D12" s="23" t="s">
        <v>245</v>
      </c>
      <c r="E12" s="23" t="s">
        <v>246</v>
      </c>
      <c r="F12" s="23" t="s">
        <v>86</v>
      </c>
      <c r="G12" s="23" t="s">
        <v>243</v>
      </c>
      <c r="H12" s="24" t="s">
        <v>78</v>
      </c>
      <c r="I12" s="24" t="s">
        <v>32</v>
      </c>
      <c r="J12" s="23" t="s">
        <v>247</v>
      </c>
    </row>
    <row r="13" customFormat="false" ht="168" hidden="false" customHeight="true" outlineLevel="0" collapsed="false">
      <c r="A13" s="20" t="n">
        <v>46295.5</v>
      </c>
      <c r="B13" s="21" t="s">
        <v>238</v>
      </c>
      <c r="C13" s="22" t="s">
        <v>239</v>
      </c>
      <c r="D13" s="23" t="s">
        <v>248</v>
      </c>
      <c r="E13" s="23" t="s">
        <v>249</v>
      </c>
      <c r="F13" s="23" t="s">
        <v>86</v>
      </c>
      <c r="G13" s="23" t="s">
        <v>243</v>
      </c>
      <c r="H13" s="24" t="s">
        <v>78</v>
      </c>
      <c r="I13" s="24" t="s">
        <v>32</v>
      </c>
      <c r="J13" s="23" t="s">
        <v>250</v>
      </c>
    </row>
    <row r="14" customFormat="false" ht="168" hidden="false" customHeight="true" outlineLevel="0" collapsed="false">
      <c r="A14" s="20" t="n">
        <v>46296.5</v>
      </c>
      <c r="B14" s="21" t="s">
        <v>238</v>
      </c>
      <c r="C14" s="22" t="s">
        <v>239</v>
      </c>
      <c r="D14" s="23" t="s">
        <v>251</v>
      </c>
      <c r="E14" s="23" t="s">
        <v>252</v>
      </c>
      <c r="F14" s="23" t="s">
        <v>86</v>
      </c>
      <c r="G14" s="23" t="s">
        <v>243</v>
      </c>
      <c r="H14" s="24" t="s">
        <v>78</v>
      </c>
      <c r="I14" s="24" t="s">
        <v>32</v>
      </c>
      <c r="J14" s="23" t="s">
        <v>253</v>
      </c>
    </row>
    <row r="15" customFormat="false" ht="168" hidden="false" customHeight="true" outlineLevel="0" collapsed="false">
      <c r="A15" s="20" t="n">
        <v>46297.5</v>
      </c>
      <c r="B15" s="21" t="s">
        <v>238</v>
      </c>
      <c r="C15" s="22" t="s">
        <v>239</v>
      </c>
      <c r="D15" s="23" t="s">
        <v>254</v>
      </c>
      <c r="E15" s="23" t="s">
        <v>255</v>
      </c>
      <c r="F15" s="23" t="s">
        <v>86</v>
      </c>
      <c r="G15" s="23" t="s">
        <v>243</v>
      </c>
      <c r="H15" s="24" t="s">
        <v>78</v>
      </c>
      <c r="I15" s="24" t="s">
        <v>32</v>
      </c>
      <c r="J15" s="23" t="s">
        <v>256</v>
      </c>
    </row>
    <row r="16" customFormat="false" ht="320" hidden="false" customHeight="true" outlineLevel="0" collapsed="false">
      <c r="A16" s="20" t="n">
        <v>46298.5</v>
      </c>
      <c r="B16" s="25" t="s">
        <v>257</v>
      </c>
      <c r="C16" s="22" t="s">
        <v>239</v>
      </c>
      <c r="D16" s="23" t="s">
        <v>258</v>
      </c>
      <c r="E16" s="23" t="s">
        <v>259</v>
      </c>
      <c r="F16" s="23" t="s">
        <v>94</v>
      </c>
      <c r="G16" s="23" t="s">
        <v>243</v>
      </c>
      <c r="H16" s="24" t="s">
        <v>78</v>
      </c>
      <c r="I16" s="24" t="s">
        <v>32</v>
      </c>
      <c r="J16" s="23" t="s">
        <v>260</v>
      </c>
    </row>
    <row r="17" customFormat="false" ht="168" hidden="false" customHeight="true" outlineLevel="0" collapsed="false">
      <c r="A17" s="20" t="n">
        <v>46299.5</v>
      </c>
      <c r="B17" s="25" t="s">
        <v>257</v>
      </c>
      <c r="C17" s="22" t="s">
        <v>239</v>
      </c>
      <c r="D17" s="23" t="s">
        <v>261</v>
      </c>
      <c r="E17" s="23" t="s">
        <v>262</v>
      </c>
      <c r="F17" s="23" t="s">
        <v>94</v>
      </c>
      <c r="G17" s="23" t="s">
        <v>243</v>
      </c>
      <c r="H17" s="24" t="s">
        <v>78</v>
      </c>
      <c r="I17" s="24" t="s">
        <v>32</v>
      </c>
      <c r="J17" s="23" t="s">
        <v>263</v>
      </c>
    </row>
    <row r="18" customFormat="false" ht="168" hidden="false" customHeight="true" outlineLevel="0" collapsed="false">
      <c r="A18" s="20" t="n">
        <v>46300.5</v>
      </c>
      <c r="B18" s="21" t="s">
        <v>238</v>
      </c>
      <c r="C18" s="26" t="s">
        <v>72</v>
      </c>
      <c r="D18" s="23" t="s">
        <v>264</v>
      </c>
      <c r="E18" s="23" t="s">
        <v>265</v>
      </c>
      <c r="F18" s="23" t="s">
        <v>86</v>
      </c>
      <c r="G18" s="23" t="s">
        <v>266</v>
      </c>
      <c r="H18" s="24" t="s">
        <v>78</v>
      </c>
      <c r="I18" s="24" t="s">
        <v>32</v>
      </c>
      <c r="J18" s="23" t="s">
        <v>267</v>
      </c>
    </row>
    <row r="19" customFormat="false" ht="168" hidden="false" customHeight="true" outlineLevel="0" collapsed="false">
      <c r="A19" s="20" t="n">
        <v>46301.5</v>
      </c>
      <c r="B19" s="21" t="s">
        <v>238</v>
      </c>
      <c r="C19" s="26" t="s">
        <v>72</v>
      </c>
      <c r="D19" s="23" t="s">
        <v>268</v>
      </c>
      <c r="E19" s="23" t="s">
        <v>269</v>
      </c>
      <c r="F19" s="23" t="s">
        <v>76</v>
      </c>
      <c r="G19" s="23" t="s">
        <v>266</v>
      </c>
      <c r="H19" s="24" t="s">
        <v>78</v>
      </c>
      <c r="I19" s="24" t="s">
        <v>96</v>
      </c>
      <c r="J19" s="23"/>
    </row>
    <row r="20" customFormat="false" ht="168" hidden="false" customHeight="true" outlineLevel="0" collapsed="false">
      <c r="A20" s="20" t="n">
        <v>46302.5</v>
      </c>
      <c r="B20" s="21" t="s">
        <v>238</v>
      </c>
      <c r="C20" s="26" t="s">
        <v>72</v>
      </c>
      <c r="D20" s="23" t="s">
        <v>270</v>
      </c>
      <c r="E20" s="23" t="s">
        <v>271</v>
      </c>
      <c r="F20" s="23" t="s">
        <v>76</v>
      </c>
      <c r="G20" s="23" t="s">
        <v>266</v>
      </c>
      <c r="H20" s="24" t="s">
        <v>78</v>
      </c>
      <c r="I20" s="24" t="s">
        <v>272</v>
      </c>
      <c r="J20" s="23" t="s">
        <v>273</v>
      </c>
    </row>
    <row r="21" customFormat="false" ht="168" hidden="false" customHeight="true" outlineLevel="0" collapsed="false">
      <c r="A21" s="20" t="n">
        <v>46303.5</v>
      </c>
      <c r="B21" s="21" t="s">
        <v>238</v>
      </c>
      <c r="C21" s="26" t="s">
        <v>72</v>
      </c>
      <c r="D21" s="23" t="s">
        <v>274</v>
      </c>
      <c r="E21" s="23" t="s">
        <v>275</v>
      </c>
      <c r="F21" s="23" t="s">
        <v>86</v>
      </c>
      <c r="G21" s="23" t="s">
        <v>266</v>
      </c>
      <c r="H21" s="24" t="s">
        <v>78</v>
      </c>
      <c r="I21" s="24" t="s">
        <v>272</v>
      </c>
      <c r="J21" s="23" t="s">
        <v>273</v>
      </c>
    </row>
    <row r="22" customFormat="false" ht="168" hidden="false" customHeight="true" outlineLevel="0" collapsed="false">
      <c r="A22" s="20" t="n">
        <v>46304.5</v>
      </c>
      <c r="B22" s="21" t="s">
        <v>238</v>
      </c>
      <c r="C22" s="26" t="s">
        <v>72</v>
      </c>
      <c r="D22" s="23" t="s">
        <v>276</v>
      </c>
      <c r="E22" s="23" t="s">
        <v>277</v>
      </c>
      <c r="F22" s="23" t="s">
        <v>278</v>
      </c>
      <c r="G22" s="23" t="s">
        <v>266</v>
      </c>
      <c r="H22" s="24" t="s">
        <v>78</v>
      </c>
      <c r="I22" s="24" t="s">
        <v>272</v>
      </c>
      <c r="J22" s="23" t="s">
        <v>273</v>
      </c>
    </row>
    <row r="23" customFormat="false" ht="168" hidden="false" customHeight="true" outlineLevel="0" collapsed="false">
      <c r="A23" s="20" t="n">
        <v>46305.5</v>
      </c>
      <c r="B23" s="25" t="s">
        <v>257</v>
      </c>
      <c r="C23" s="26" t="s">
        <v>72</v>
      </c>
      <c r="D23" s="23" t="s">
        <v>279</v>
      </c>
      <c r="E23" s="23" t="s">
        <v>280</v>
      </c>
      <c r="F23" s="23" t="s">
        <v>94</v>
      </c>
      <c r="G23" s="23" t="s">
        <v>266</v>
      </c>
      <c r="H23" s="24" t="s">
        <v>78</v>
      </c>
      <c r="I23" s="24" t="s">
        <v>272</v>
      </c>
      <c r="J23" s="23" t="s">
        <v>273</v>
      </c>
    </row>
    <row r="24" customFormat="false" ht="168" hidden="false" customHeight="true" outlineLevel="0" collapsed="false">
      <c r="A24" s="20" t="n">
        <v>46306.5</v>
      </c>
      <c r="B24" s="25" t="s">
        <v>257</v>
      </c>
      <c r="C24" s="26" t="s">
        <v>72</v>
      </c>
      <c r="D24" s="23" t="s">
        <v>281</v>
      </c>
      <c r="E24" s="23" t="s">
        <v>282</v>
      </c>
      <c r="F24" s="23" t="s">
        <v>94</v>
      </c>
      <c r="G24" s="23" t="s">
        <v>266</v>
      </c>
      <c r="H24" s="24" t="s">
        <v>78</v>
      </c>
      <c r="I24" s="24" t="s">
        <v>272</v>
      </c>
      <c r="J24" s="23" t="s">
        <v>273</v>
      </c>
    </row>
    <row r="25" customFormat="false" ht="168" hidden="false" customHeight="true" outlineLevel="0" collapsed="false">
      <c r="A25" s="20" t="n">
        <v>46307.5</v>
      </c>
      <c r="B25" s="21" t="s">
        <v>238</v>
      </c>
      <c r="C25" s="25" t="s">
        <v>112</v>
      </c>
      <c r="D25" s="23" t="s">
        <v>283</v>
      </c>
      <c r="E25" s="23" t="s">
        <v>284</v>
      </c>
      <c r="F25" s="23" t="s">
        <v>116</v>
      </c>
      <c r="G25" s="23" t="s">
        <v>285</v>
      </c>
      <c r="H25" s="24" t="s">
        <v>78</v>
      </c>
      <c r="I25" s="24" t="s">
        <v>272</v>
      </c>
      <c r="J25" s="23" t="s">
        <v>273</v>
      </c>
    </row>
    <row r="26" customFormat="false" ht="168" hidden="false" customHeight="true" outlineLevel="0" collapsed="false">
      <c r="A26" s="20" t="n">
        <v>46308.5</v>
      </c>
      <c r="B26" s="21" t="s">
        <v>238</v>
      </c>
      <c r="C26" s="25" t="s">
        <v>112</v>
      </c>
      <c r="D26" s="23" t="s">
        <v>286</v>
      </c>
      <c r="E26" s="23" t="s">
        <v>287</v>
      </c>
      <c r="F26" s="23" t="s">
        <v>116</v>
      </c>
      <c r="G26" s="23" t="s">
        <v>285</v>
      </c>
      <c r="H26" s="24" t="s">
        <v>78</v>
      </c>
      <c r="I26" s="24" t="s">
        <v>272</v>
      </c>
      <c r="J26" s="23" t="s">
        <v>273</v>
      </c>
    </row>
    <row r="27" customFormat="false" ht="168" hidden="false" customHeight="true" outlineLevel="0" collapsed="false">
      <c r="A27" s="20" t="n">
        <v>46309.5</v>
      </c>
      <c r="B27" s="21" t="s">
        <v>238</v>
      </c>
      <c r="C27" s="25" t="s">
        <v>112</v>
      </c>
      <c r="D27" s="23" t="s">
        <v>288</v>
      </c>
      <c r="E27" s="23" t="s">
        <v>289</v>
      </c>
      <c r="F27" s="23" t="s">
        <v>86</v>
      </c>
      <c r="G27" s="23" t="s">
        <v>285</v>
      </c>
      <c r="H27" s="24" t="s">
        <v>78</v>
      </c>
      <c r="I27" s="24" t="s">
        <v>272</v>
      </c>
      <c r="J27" s="23" t="s">
        <v>273</v>
      </c>
    </row>
    <row r="28" customFormat="false" ht="168" hidden="false" customHeight="true" outlineLevel="0" collapsed="false">
      <c r="A28" s="20" t="n">
        <v>46310.5</v>
      </c>
      <c r="B28" s="21" t="s">
        <v>238</v>
      </c>
      <c r="C28" s="25" t="s">
        <v>112</v>
      </c>
      <c r="D28" s="23" t="s">
        <v>290</v>
      </c>
      <c r="E28" s="23" t="s">
        <v>291</v>
      </c>
      <c r="F28" s="23" t="s">
        <v>116</v>
      </c>
      <c r="G28" s="23" t="s">
        <v>285</v>
      </c>
      <c r="H28" s="24" t="s">
        <v>78</v>
      </c>
      <c r="I28" s="24" t="s">
        <v>272</v>
      </c>
      <c r="J28" s="23" t="s">
        <v>273</v>
      </c>
    </row>
    <row r="29" customFormat="false" ht="168" hidden="false" customHeight="true" outlineLevel="0" collapsed="false">
      <c r="A29" s="20" t="n">
        <v>46311.5</v>
      </c>
      <c r="B29" s="21" t="s">
        <v>238</v>
      </c>
      <c r="C29" s="25" t="s">
        <v>112</v>
      </c>
      <c r="D29" s="23" t="s">
        <v>292</v>
      </c>
      <c r="E29" s="23" t="s">
        <v>293</v>
      </c>
      <c r="F29" s="23" t="s">
        <v>76</v>
      </c>
      <c r="G29" s="23" t="s">
        <v>285</v>
      </c>
      <c r="H29" s="24" t="s">
        <v>78</v>
      </c>
      <c r="I29" s="24" t="s">
        <v>272</v>
      </c>
      <c r="J29" s="23" t="s">
        <v>273</v>
      </c>
    </row>
    <row r="30" customFormat="false" ht="168" hidden="false" customHeight="true" outlineLevel="0" collapsed="false">
      <c r="A30" s="20" t="n">
        <v>46312.5</v>
      </c>
      <c r="B30" s="25" t="s">
        <v>257</v>
      </c>
      <c r="C30" s="25" t="s">
        <v>112</v>
      </c>
      <c r="D30" s="23" t="s">
        <v>294</v>
      </c>
      <c r="E30" s="23" t="s">
        <v>295</v>
      </c>
      <c r="F30" s="23" t="s">
        <v>94</v>
      </c>
      <c r="G30" s="23" t="s">
        <v>285</v>
      </c>
      <c r="H30" s="24" t="s">
        <v>78</v>
      </c>
      <c r="I30" s="24" t="s">
        <v>272</v>
      </c>
      <c r="J30" s="23" t="s">
        <v>273</v>
      </c>
    </row>
    <row r="31" customFormat="false" ht="168" hidden="false" customHeight="true" outlineLevel="0" collapsed="false">
      <c r="A31" s="20" t="n">
        <v>46313.5</v>
      </c>
      <c r="B31" s="25" t="s">
        <v>257</v>
      </c>
      <c r="C31" s="25" t="s">
        <v>112</v>
      </c>
      <c r="D31" s="23" t="s">
        <v>296</v>
      </c>
      <c r="E31" s="23" t="s">
        <v>297</v>
      </c>
      <c r="F31" s="23" t="s">
        <v>94</v>
      </c>
      <c r="G31" s="23" t="s">
        <v>285</v>
      </c>
      <c r="H31" s="24" t="s">
        <v>78</v>
      </c>
      <c r="I31" s="24" t="s">
        <v>272</v>
      </c>
      <c r="J31" s="23" t="s">
        <v>273</v>
      </c>
    </row>
    <row r="32" customFormat="false" ht="168" hidden="false" customHeight="true" outlineLevel="0" collapsed="false">
      <c r="A32" s="20" t="n">
        <v>46314.5</v>
      </c>
      <c r="B32" s="21" t="s">
        <v>238</v>
      </c>
      <c r="C32" s="27" t="s">
        <v>142</v>
      </c>
      <c r="D32" s="23" t="s">
        <v>298</v>
      </c>
      <c r="E32" s="23" t="s">
        <v>299</v>
      </c>
      <c r="F32" s="23" t="s">
        <v>116</v>
      </c>
      <c r="G32" s="23" t="s">
        <v>300</v>
      </c>
      <c r="H32" s="24" t="s">
        <v>78</v>
      </c>
      <c r="I32" s="24" t="s">
        <v>272</v>
      </c>
      <c r="J32" s="23" t="s">
        <v>273</v>
      </c>
    </row>
    <row r="33" customFormat="false" ht="168" hidden="false" customHeight="true" outlineLevel="0" collapsed="false">
      <c r="A33" s="20" t="n">
        <v>46315.5</v>
      </c>
      <c r="B33" s="21" t="s">
        <v>238</v>
      </c>
      <c r="C33" s="27" t="s">
        <v>142</v>
      </c>
      <c r="D33" s="23" t="s">
        <v>301</v>
      </c>
      <c r="E33" s="23" t="s">
        <v>302</v>
      </c>
      <c r="F33" s="23" t="s">
        <v>116</v>
      </c>
      <c r="G33" s="23" t="s">
        <v>300</v>
      </c>
      <c r="H33" s="24" t="s">
        <v>78</v>
      </c>
      <c r="I33" s="24" t="s">
        <v>272</v>
      </c>
      <c r="J33" s="23" t="s">
        <v>273</v>
      </c>
    </row>
    <row r="34" customFormat="false" ht="168" hidden="false" customHeight="true" outlineLevel="0" collapsed="false">
      <c r="A34" s="20" t="n">
        <v>46316.5</v>
      </c>
      <c r="B34" s="21" t="s">
        <v>238</v>
      </c>
      <c r="C34" s="27" t="s">
        <v>142</v>
      </c>
      <c r="D34" s="23" t="s">
        <v>303</v>
      </c>
      <c r="E34" s="23" t="s">
        <v>304</v>
      </c>
      <c r="F34" s="23" t="s">
        <v>116</v>
      </c>
      <c r="G34" s="23" t="s">
        <v>300</v>
      </c>
      <c r="H34" s="24" t="s">
        <v>78</v>
      </c>
      <c r="I34" s="24" t="s">
        <v>272</v>
      </c>
      <c r="J34" s="23" t="s">
        <v>273</v>
      </c>
    </row>
    <row r="35" customFormat="false" ht="168" hidden="false" customHeight="true" outlineLevel="0" collapsed="false">
      <c r="A35" s="20" t="n">
        <v>46317.5</v>
      </c>
      <c r="B35" s="21" t="s">
        <v>238</v>
      </c>
      <c r="C35" s="27" t="s">
        <v>142</v>
      </c>
      <c r="D35" s="23" t="s">
        <v>305</v>
      </c>
      <c r="E35" s="23" t="s">
        <v>306</v>
      </c>
      <c r="F35" s="23" t="s">
        <v>116</v>
      </c>
      <c r="G35" s="23" t="s">
        <v>300</v>
      </c>
      <c r="H35" s="24" t="s">
        <v>78</v>
      </c>
      <c r="I35" s="24" t="s">
        <v>272</v>
      </c>
      <c r="J35" s="23" t="s">
        <v>273</v>
      </c>
    </row>
    <row r="36" customFormat="false" ht="168" hidden="false" customHeight="true" outlineLevel="0" collapsed="false">
      <c r="A36" s="20" t="n">
        <v>46318.5</v>
      </c>
      <c r="B36" s="21" t="s">
        <v>238</v>
      </c>
      <c r="C36" s="27" t="s">
        <v>142</v>
      </c>
      <c r="D36" s="23" t="s">
        <v>307</v>
      </c>
      <c r="E36" s="23" t="s">
        <v>308</v>
      </c>
      <c r="F36" s="23" t="s">
        <v>116</v>
      </c>
      <c r="G36" s="23" t="s">
        <v>300</v>
      </c>
      <c r="H36" s="24" t="s">
        <v>78</v>
      </c>
      <c r="I36" s="24" t="s">
        <v>272</v>
      </c>
      <c r="J36" s="23" t="s">
        <v>273</v>
      </c>
    </row>
    <row r="37" customFormat="false" ht="168" hidden="false" customHeight="true" outlineLevel="0" collapsed="false">
      <c r="A37" s="20" t="n">
        <v>46319.5</v>
      </c>
      <c r="B37" s="25" t="s">
        <v>257</v>
      </c>
      <c r="C37" s="27" t="s">
        <v>142</v>
      </c>
      <c r="D37" s="23" t="s">
        <v>309</v>
      </c>
      <c r="E37" s="23" t="s">
        <v>310</v>
      </c>
      <c r="F37" s="23" t="s">
        <v>94</v>
      </c>
      <c r="G37" s="23" t="s">
        <v>300</v>
      </c>
      <c r="H37" s="24" t="s">
        <v>78</v>
      </c>
      <c r="I37" s="24" t="s">
        <v>272</v>
      </c>
      <c r="J37" s="23" t="s">
        <v>273</v>
      </c>
    </row>
    <row r="38" customFormat="false" ht="168" hidden="false" customHeight="true" outlineLevel="0" collapsed="false">
      <c r="A38" s="20" t="n">
        <v>46320.5</v>
      </c>
      <c r="B38" s="25" t="s">
        <v>257</v>
      </c>
      <c r="C38" s="27" t="s">
        <v>142</v>
      </c>
      <c r="D38" s="23" t="s">
        <v>311</v>
      </c>
      <c r="E38" s="23" t="s">
        <v>312</v>
      </c>
      <c r="F38" s="23" t="s">
        <v>94</v>
      </c>
      <c r="G38" s="23" t="s">
        <v>300</v>
      </c>
      <c r="H38" s="24" t="s">
        <v>78</v>
      </c>
      <c r="I38" s="24" t="s">
        <v>272</v>
      </c>
      <c r="J38" s="23" t="s">
        <v>273</v>
      </c>
    </row>
    <row r="39" customFormat="false" ht="168" hidden="false" customHeight="true" outlineLevel="0" collapsed="false">
      <c r="A39" s="20" t="n">
        <v>46321.5</v>
      </c>
      <c r="B39" s="21" t="s">
        <v>238</v>
      </c>
      <c r="C39" s="28" t="s">
        <v>178</v>
      </c>
      <c r="D39" s="23" t="s">
        <v>313</v>
      </c>
      <c r="E39" s="23" t="s">
        <v>314</v>
      </c>
      <c r="F39" s="23" t="s">
        <v>116</v>
      </c>
      <c r="G39" s="23" t="s">
        <v>315</v>
      </c>
      <c r="H39" s="24" t="s">
        <v>78</v>
      </c>
      <c r="I39" s="24" t="s">
        <v>272</v>
      </c>
      <c r="J39" s="23" t="s">
        <v>273</v>
      </c>
    </row>
    <row r="40" customFormat="false" ht="168" hidden="false" customHeight="true" outlineLevel="0" collapsed="false">
      <c r="A40" s="20" t="n">
        <v>46322.5</v>
      </c>
      <c r="B40" s="21" t="s">
        <v>238</v>
      </c>
      <c r="C40" s="28" t="s">
        <v>178</v>
      </c>
      <c r="D40" s="23" t="s">
        <v>316</v>
      </c>
      <c r="E40" s="23" t="s">
        <v>317</v>
      </c>
      <c r="F40" s="23" t="s">
        <v>86</v>
      </c>
      <c r="G40" s="23" t="s">
        <v>315</v>
      </c>
      <c r="H40" s="24" t="s">
        <v>78</v>
      </c>
      <c r="I40" s="24" t="s">
        <v>272</v>
      </c>
      <c r="J40" s="23" t="s">
        <v>273</v>
      </c>
    </row>
    <row r="41" customFormat="false" ht="168" hidden="false" customHeight="true" outlineLevel="0" collapsed="false">
      <c r="A41" s="20" t="n">
        <v>46323.5</v>
      </c>
      <c r="B41" s="21" t="s">
        <v>238</v>
      </c>
      <c r="C41" s="28" t="s">
        <v>178</v>
      </c>
      <c r="D41" s="23" t="s">
        <v>318</v>
      </c>
      <c r="E41" s="23" t="s">
        <v>319</v>
      </c>
      <c r="F41" s="23" t="s">
        <v>108</v>
      </c>
      <c r="G41" s="23" t="s">
        <v>315</v>
      </c>
      <c r="H41" s="24" t="s">
        <v>78</v>
      </c>
      <c r="I41" s="24" t="s">
        <v>272</v>
      </c>
      <c r="J41" s="23" t="s">
        <v>273</v>
      </c>
    </row>
    <row r="42" customFormat="false" ht="168" hidden="false" customHeight="true" outlineLevel="0" collapsed="false">
      <c r="A42" s="20" t="n">
        <v>46324.5</v>
      </c>
      <c r="B42" s="21" t="s">
        <v>238</v>
      </c>
      <c r="C42" s="28" t="s">
        <v>178</v>
      </c>
      <c r="D42" s="23" t="s">
        <v>320</v>
      </c>
      <c r="E42" s="23" t="s">
        <v>321</v>
      </c>
      <c r="F42" s="23" t="s">
        <v>86</v>
      </c>
      <c r="G42" s="23" t="s">
        <v>315</v>
      </c>
      <c r="H42" s="24" t="s">
        <v>78</v>
      </c>
      <c r="I42" s="24" t="s">
        <v>272</v>
      </c>
      <c r="J42" s="23" t="s">
        <v>273</v>
      </c>
    </row>
    <row r="43" customFormat="false" ht="168" hidden="false" customHeight="true" outlineLevel="0" collapsed="false">
      <c r="A43" s="20" t="n">
        <v>46325.5</v>
      </c>
      <c r="B43" s="21" t="s">
        <v>238</v>
      </c>
      <c r="C43" s="28" t="s">
        <v>178</v>
      </c>
      <c r="D43" s="23" t="s">
        <v>322</v>
      </c>
      <c r="E43" s="23" t="s">
        <v>323</v>
      </c>
      <c r="F43" s="23" t="s">
        <v>212</v>
      </c>
      <c r="G43" s="23" t="s">
        <v>315</v>
      </c>
      <c r="H43" s="24" t="s">
        <v>78</v>
      </c>
      <c r="I43" s="24" t="s">
        <v>96</v>
      </c>
      <c r="J43" s="23" t="s">
        <v>324</v>
      </c>
    </row>
    <row r="44" customFormat="false" ht="168" hidden="false" customHeight="true" outlineLevel="0" collapsed="false">
      <c r="A44" s="20" t="n">
        <v>46326.5</v>
      </c>
      <c r="B44" s="25" t="s">
        <v>257</v>
      </c>
      <c r="C44" s="28" t="s">
        <v>178</v>
      </c>
      <c r="D44" s="23" t="s">
        <v>325</v>
      </c>
      <c r="E44" s="23" t="s">
        <v>326</v>
      </c>
      <c r="F44" s="23" t="s">
        <v>94</v>
      </c>
      <c r="G44" s="23" t="s">
        <v>315</v>
      </c>
      <c r="H44" s="24" t="s">
        <v>78</v>
      </c>
      <c r="I44" s="24" t="s">
        <v>96</v>
      </c>
      <c r="J44" s="23" t="s">
        <v>324</v>
      </c>
    </row>
    <row r="45" customFormat="false" ht="168" hidden="false" customHeight="true" outlineLevel="0" collapsed="false">
      <c r="A45" s="20" t="n">
        <v>46327.5</v>
      </c>
      <c r="B45" s="25" t="s">
        <v>257</v>
      </c>
      <c r="C45" s="29" t="s">
        <v>218</v>
      </c>
      <c r="D45" s="23" t="s">
        <v>327</v>
      </c>
      <c r="E45" s="23" t="s">
        <v>328</v>
      </c>
      <c r="F45" s="23" t="s">
        <v>94</v>
      </c>
      <c r="G45" s="23" t="s">
        <v>329</v>
      </c>
      <c r="H45" s="24" t="s">
        <v>78</v>
      </c>
      <c r="I45" s="24" t="s">
        <v>96</v>
      </c>
      <c r="J45" s="23" t="s">
        <v>324</v>
      </c>
    </row>
    <row r="46" customFormat="false" ht="168" hidden="false" customHeight="true" outlineLevel="0" collapsed="false">
      <c r="A46" s="30" t="n">
        <v>46328.5</v>
      </c>
      <c r="B46" s="31" t="s">
        <v>238</v>
      </c>
      <c r="C46" s="32" t="s">
        <v>224</v>
      </c>
      <c r="D46" s="33" t="s">
        <v>330</v>
      </c>
      <c r="E46" s="33" t="s">
        <v>331</v>
      </c>
      <c r="F46" s="33" t="s">
        <v>116</v>
      </c>
      <c r="G46" s="33" t="s">
        <v>332</v>
      </c>
      <c r="H46" s="34" t="s">
        <v>78</v>
      </c>
      <c r="I46" s="34" t="s">
        <v>96</v>
      </c>
      <c r="J46" s="33" t="s">
        <v>324</v>
      </c>
    </row>
  </sheetData>
  <mergeCells count="4">
    <mergeCell ref="A2:J2"/>
    <mergeCell ref="A3:J3"/>
    <mergeCell ref="D5:J5"/>
    <mergeCell ref="D6:J9"/>
  </mergeCells>
  <conditionalFormatting sqref="I11:I46">
    <cfRule type="containsText" priority="2" operator="containsText" aboveAverage="0" equalAverage="0" bottom="0" percent="0" rank="0" text="Done" dxfId="15">
      <formula>NOT(ISERROR(SEARCH("Done",I11)))</formula>
    </cfRule>
    <cfRule type="containsText" priority="3" operator="containsText" aboveAverage="0" equalAverage="0" bottom="0" percent="0" rank="0" text="In progress" dxfId="16">
      <formula>NOT(ISERROR(SEARCH("In progress",I11)))</formula>
    </cfRule>
    <cfRule type="containsText" priority="4" operator="containsText" aboveAverage="0" equalAverage="0" bottom="0" percent="0" rank="0" text="Blocked" dxfId="17">
      <formula>NOT(ISERROR(SEARCH("Blocked",I11)))</formula>
    </cfRule>
    <cfRule type="containsText" priority="5" operator="containsText" aboveAverage="0" equalAverage="0" bottom="0" percent="0" rank="0" text="Not started" dxfId="18">
      <formula>NOT(ISERROR(SEARCH("Not started",I11)))</formula>
    </cfRule>
  </conditionalFormatting>
  <dataValidations count="1">
    <dataValidation allowBlank="false" errorStyle="stop" operator="between" showDropDown="false" showErrorMessage="false" showInputMessage="false" sqref="I11:I46" type="list">
      <formula1>"Not started,In progress,Blocked,Done"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7A78"/>
    <pageSetUpPr fitToPage="false"/>
  </sheetPr>
  <dimension ref="A2:N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4" min="1" style="0" width="13"/>
  </cols>
  <sheetData>
    <row r="2" customFormat="false" ht="19.7" hidden="false" customHeight="false" outlineLevel="0" collapsed="false">
      <c r="A2" s="1" t="s">
        <v>333</v>
      </c>
      <c r="B2" s="1"/>
      <c r="C2" s="1"/>
      <c r="D2" s="1"/>
      <c r="E2" s="1"/>
      <c r="F2" s="1"/>
      <c r="G2" s="1"/>
      <c r="H2" s="1"/>
      <c r="I2" s="1"/>
      <c r="J2" s="1"/>
      <c r="K2" s="1"/>
      <c r="L2" s="1"/>
      <c r="M2" s="1"/>
      <c r="N2" s="1"/>
    </row>
    <row r="3" customFormat="false" ht="15" hidden="false" customHeight="false" outlineLevel="0" collapsed="false">
      <c r="A3" s="2" t="s">
        <v>334</v>
      </c>
      <c r="B3" s="2"/>
      <c r="C3" s="2"/>
      <c r="D3" s="2"/>
      <c r="E3" s="2"/>
      <c r="F3" s="2"/>
      <c r="G3" s="2"/>
      <c r="H3" s="2"/>
      <c r="I3" s="2"/>
      <c r="J3" s="2"/>
      <c r="K3" s="2"/>
      <c r="L3" s="2"/>
      <c r="M3" s="2"/>
      <c r="N3" s="2"/>
    </row>
    <row r="5" customFormat="false" ht="24" hidden="false" customHeight="true" outlineLevel="0" collapsed="false">
      <c r="A5" s="35" t="s">
        <v>335</v>
      </c>
      <c r="B5" s="35"/>
      <c r="C5" s="35"/>
      <c r="D5" s="35"/>
      <c r="E5" s="35"/>
      <c r="F5" s="35"/>
      <c r="G5" s="35"/>
      <c r="H5" s="35"/>
      <c r="I5" s="35"/>
      <c r="J5" s="35"/>
      <c r="K5" s="35"/>
      <c r="L5" s="35"/>
      <c r="M5" s="35"/>
      <c r="N5" s="35"/>
    </row>
    <row r="6" customFormat="false" ht="24" hidden="false" customHeight="true" outlineLevel="0" collapsed="false">
      <c r="A6" s="36" t="s">
        <v>336</v>
      </c>
      <c r="B6" s="36"/>
      <c r="C6" s="36" t="s">
        <v>337</v>
      </c>
      <c r="D6" s="36"/>
      <c r="E6" s="36" t="s">
        <v>338</v>
      </c>
      <c r="F6" s="36"/>
      <c r="G6" s="36" t="s">
        <v>339</v>
      </c>
      <c r="H6" s="36"/>
      <c r="I6" s="36" t="s">
        <v>340</v>
      </c>
      <c r="J6" s="36"/>
      <c r="K6" s="36" t="s">
        <v>341</v>
      </c>
      <c r="L6" s="36"/>
      <c r="M6" s="36" t="s">
        <v>342</v>
      </c>
      <c r="N6" s="36"/>
    </row>
    <row r="7" customFormat="false" ht="26" hidden="false" customHeight="true" outlineLevel="0" collapsed="false">
      <c r="A7" s="37" t="s">
        <v>343</v>
      </c>
      <c r="B7" s="37"/>
      <c r="C7" s="37" t="s">
        <v>344</v>
      </c>
      <c r="D7" s="37"/>
      <c r="E7" s="37" t="s">
        <v>345</v>
      </c>
      <c r="F7" s="37"/>
      <c r="G7" s="37" t="s">
        <v>346</v>
      </c>
      <c r="H7" s="37"/>
      <c r="I7" s="37" t="s">
        <v>347</v>
      </c>
      <c r="J7" s="37"/>
      <c r="K7" s="38" t="s">
        <v>348</v>
      </c>
      <c r="L7" s="38"/>
      <c r="M7" s="38" t="s">
        <v>349</v>
      </c>
      <c r="N7" s="38"/>
    </row>
    <row r="8" customFormat="false" ht="26" hidden="false" customHeight="true" outlineLevel="0" collapsed="false">
      <c r="A8" s="37"/>
      <c r="B8" s="37"/>
      <c r="C8" s="37"/>
      <c r="D8" s="37"/>
      <c r="E8" s="37"/>
      <c r="F8" s="37"/>
      <c r="G8" s="37"/>
      <c r="H8" s="37"/>
      <c r="I8" s="37"/>
      <c r="J8" s="37"/>
      <c r="K8" s="38"/>
      <c r="L8" s="38"/>
      <c r="M8" s="38"/>
      <c r="N8" s="38"/>
    </row>
    <row r="9" customFormat="false" ht="26" hidden="false" customHeight="true" outlineLevel="0" collapsed="false">
      <c r="A9" s="37"/>
      <c r="B9" s="37"/>
      <c r="C9" s="37"/>
      <c r="D9" s="37"/>
      <c r="E9" s="37"/>
      <c r="F9" s="37"/>
      <c r="G9" s="37"/>
      <c r="H9" s="37"/>
      <c r="I9" s="37"/>
      <c r="J9" s="37"/>
      <c r="K9" s="38"/>
      <c r="L9" s="38"/>
      <c r="M9" s="38"/>
      <c r="N9" s="38"/>
    </row>
    <row r="10" customFormat="false" ht="26" hidden="false" customHeight="true" outlineLevel="0" collapsed="false">
      <c r="A10" s="37"/>
      <c r="B10" s="37"/>
      <c r="C10" s="37"/>
      <c r="D10" s="37"/>
      <c r="E10" s="37"/>
      <c r="F10" s="37"/>
      <c r="G10" s="37"/>
      <c r="H10" s="37"/>
      <c r="I10" s="37"/>
      <c r="J10" s="37"/>
      <c r="K10" s="38"/>
      <c r="L10" s="38"/>
      <c r="M10" s="38"/>
      <c r="N10" s="38"/>
    </row>
    <row r="11" customFormat="false" ht="26" hidden="false" customHeight="true" outlineLevel="0" collapsed="false">
      <c r="A11" s="37"/>
      <c r="B11" s="37"/>
      <c r="C11" s="37"/>
      <c r="D11" s="37"/>
      <c r="E11" s="37"/>
      <c r="F11" s="37"/>
      <c r="G11" s="37"/>
      <c r="H11" s="37"/>
      <c r="I11" s="37"/>
      <c r="J11" s="37"/>
      <c r="K11" s="38"/>
      <c r="L11" s="38"/>
      <c r="M11" s="38"/>
      <c r="N11" s="38"/>
    </row>
    <row r="13" customFormat="false" ht="24" hidden="false" customHeight="true" outlineLevel="0" collapsed="false">
      <c r="A13" s="39" t="s">
        <v>350</v>
      </c>
      <c r="B13" s="39"/>
      <c r="C13" s="39"/>
      <c r="D13" s="39"/>
      <c r="E13" s="39"/>
      <c r="F13" s="39"/>
      <c r="G13" s="39"/>
      <c r="H13" s="39"/>
      <c r="I13" s="39"/>
      <c r="J13" s="39"/>
      <c r="K13" s="39"/>
      <c r="L13" s="39"/>
      <c r="M13" s="39"/>
      <c r="N13" s="39"/>
    </row>
    <row r="14" customFormat="false" ht="24" hidden="false" customHeight="true" outlineLevel="0" collapsed="false">
      <c r="A14" s="36" t="s">
        <v>351</v>
      </c>
      <c r="B14" s="36"/>
      <c r="C14" s="36" t="s">
        <v>352</v>
      </c>
      <c r="D14" s="36"/>
      <c r="E14" s="36" t="s">
        <v>353</v>
      </c>
      <c r="F14" s="36"/>
      <c r="G14" s="36" t="s">
        <v>354</v>
      </c>
      <c r="H14" s="36"/>
      <c r="I14" s="36" t="s">
        <v>355</v>
      </c>
      <c r="J14" s="36"/>
      <c r="K14" s="36" t="s">
        <v>356</v>
      </c>
      <c r="L14" s="36"/>
      <c r="M14" s="36" t="s">
        <v>357</v>
      </c>
      <c r="N14" s="36"/>
    </row>
    <row r="15" customFormat="false" ht="26" hidden="false" customHeight="true" outlineLevel="0" collapsed="false">
      <c r="A15" s="37" t="s">
        <v>358</v>
      </c>
      <c r="B15" s="37"/>
      <c r="C15" s="37" t="s">
        <v>359</v>
      </c>
      <c r="D15" s="37"/>
      <c r="E15" s="37" t="s">
        <v>360</v>
      </c>
      <c r="F15" s="37"/>
      <c r="G15" s="37" t="s">
        <v>361</v>
      </c>
      <c r="H15" s="37"/>
      <c r="I15" s="37" t="s">
        <v>362</v>
      </c>
      <c r="J15" s="37"/>
      <c r="K15" s="38" t="s">
        <v>363</v>
      </c>
      <c r="L15" s="38"/>
      <c r="M15" s="38" t="s">
        <v>364</v>
      </c>
      <c r="N15" s="38"/>
    </row>
    <row r="16" customFormat="false" ht="26" hidden="false" customHeight="true" outlineLevel="0" collapsed="false">
      <c r="A16" s="37"/>
      <c r="B16" s="37"/>
      <c r="C16" s="37"/>
      <c r="D16" s="37"/>
      <c r="E16" s="37"/>
      <c r="F16" s="37"/>
      <c r="G16" s="37"/>
      <c r="H16" s="37"/>
      <c r="I16" s="37"/>
      <c r="J16" s="37"/>
      <c r="K16" s="38"/>
      <c r="L16" s="38"/>
      <c r="M16" s="38"/>
      <c r="N16" s="38"/>
    </row>
    <row r="17" customFormat="false" ht="26" hidden="false" customHeight="true" outlineLevel="0" collapsed="false">
      <c r="A17" s="37"/>
      <c r="B17" s="37"/>
      <c r="C17" s="37"/>
      <c r="D17" s="37"/>
      <c r="E17" s="37"/>
      <c r="F17" s="37"/>
      <c r="G17" s="37"/>
      <c r="H17" s="37"/>
      <c r="I17" s="37"/>
      <c r="J17" s="37"/>
      <c r="K17" s="38"/>
      <c r="L17" s="38"/>
      <c r="M17" s="38"/>
      <c r="N17" s="38"/>
    </row>
    <row r="18" customFormat="false" ht="26" hidden="false" customHeight="true" outlineLevel="0" collapsed="false">
      <c r="A18" s="37"/>
      <c r="B18" s="37"/>
      <c r="C18" s="37"/>
      <c r="D18" s="37"/>
      <c r="E18" s="37"/>
      <c r="F18" s="37"/>
      <c r="G18" s="37"/>
      <c r="H18" s="37"/>
      <c r="I18" s="37"/>
      <c r="J18" s="37"/>
      <c r="K18" s="38"/>
      <c r="L18" s="38"/>
      <c r="M18" s="38"/>
      <c r="N18" s="38"/>
    </row>
    <row r="19" customFormat="false" ht="26" hidden="false" customHeight="true" outlineLevel="0" collapsed="false">
      <c r="A19" s="37"/>
      <c r="B19" s="37"/>
      <c r="C19" s="37"/>
      <c r="D19" s="37"/>
      <c r="E19" s="37"/>
      <c r="F19" s="37"/>
      <c r="G19" s="37"/>
      <c r="H19" s="37"/>
      <c r="I19" s="37"/>
      <c r="J19" s="37"/>
      <c r="K19" s="38"/>
      <c r="L19" s="38"/>
      <c r="M19" s="38"/>
      <c r="N19" s="38"/>
    </row>
    <row r="21" customFormat="false" ht="24" hidden="false" customHeight="true" outlineLevel="0" collapsed="false">
      <c r="A21" s="40" t="s">
        <v>365</v>
      </c>
      <c r="B21" s="40"/>
      <c r="C21" s="40"/>
      <c r="D21" s="40"/>
      <c r="E21" s="40"/>
      <c r="F21" s="40"/>
      <c r="G21" s="40"/>
      <c r="H21" s="40"/>
      <c r="I21" s="40"/>
      <c r="J21" s="40"/>
      <c r="K21" s="40"/>
      <c r="L21" s="40"/>
      <c r="M21" s="40"/>
      <c r="N21" s="40"/>
    </row>
    <row r="22" customFormat="false" ht="24" hidden="false" customHeight="true" outlineLevel="0" collapsed="false">
      <c r="A22" s="36" t="s">
        <v>366</v>
      </c>
      <c r="B22" s="36"/>
      <c r="C22" s="36" t="s">
        <v>367</v>
      </c>
      <c r="D22" s="36"/>
      <c r="E22" s="36" t="s">
        <v>368</v>
      </c>
      <c r="F22" s="36"/>
      <c r="G22" s="36" t="s">
        <v>369</v>
      </c>
      <c r="H22" s="36"/>
      <c r="I22" s="36" t="s">
        <v>370</v>
      </c>
      <c r="J22" s="36"/>
      <c r="K22" s="36" t="s">
        <v>371</v>
      </c>
      <c r="L22" s="36"/>
      <c r="M22" s="36" t="s">
        <v>372</v>
      </c>
      <c r="N22" s="36"/>
    </row>
    <row r="23" customFormat="false" ht="26" hidden="false" customHeight="true" outlineLevel="0" collapsed="false">
      <c r="A23" s="37" t="s">
        <v>373</v>
      </c>
      <c r="B23" s="37"/>
      <c r="C23" s="37" t="s">
        <v>374</v>
      </c>
      <c r="D23" s="37"/>
      <c r="E23" s="37" t="s">
        <v>375</v>
      </c>
      <c r="F23" s="37"/>
      <c r="G23" s="37" t="s">
        <v>376</v>
      </c>
      <c r="H23" s="37"/>
      <c r="I23" s="37" t="s">
        <v>377</v>
      </c>
      <c r="J23" s="37"/>
      <c r="K23" s="38" t="s">
        <v>378</v>
      </c>
      <c r="L23" s="38"/>
      <c r="M23" s="38" t="s">
        <v>379</v>
      </c>
      <c r="N23" s="38"/>
    </row>
    <row r="24" customFormat="false" ht="26" hidden="false" customHeight="true" outlineLevel="0" collapsed="false">
      <c r="A24" s="37"/>
      <c r="B24" s="37"/>
      <c r="C24" s="37"/>
      <c r="D24" s="37"/>
      <c r="E24" s="37"/>
      <c r="F24" s="37"/>
      <c r="G24" s="37"/>
      <c r="H24" s="37"/>
      <c r="I24" s="37"/>
      <c r="J24" s="37"/>
      <c r="K24" s="38"/>
      <c r="L24" s="38"/>
      <c r="M24" s="38"/>
      <c r="N24" s="38"/>
    </row>
    <row r="25" customFormat="false" ht="26" hidden="false" customHeight="true" outlineLevel="0" collapsed="false">
      <c r="A25" s="37"/>
      <c r="B25" s="37"/>
      <c r="C25" s="37"/>
      <c r="D25" s="37"/>
      <c r="E25" s="37"/>
      <c r="F25" s="37"/>
      <c r="G25" s="37"/>
      <c r="H25" s="37"/>
      <c r="I25" s="37"/>
      <c r="J25" s="37"/>
      <c r="K25" s="38"/>
      <c r="L25" s="38"/>
      <c r="M25" s="38"/>
      <c r="N25" s="38"/>
    </row>
    <row r="26" customFormat="false" ht="26" hidden="false" customHeight="true" outlineLevel="0" collapsed="false">
      <c r="A26" s="37"/>
      <c r="B26" s="37"/>
      <c r="C26" s="37"/>
      <c r="D26" s="37"/>
      <c r="E26" s="37"/>
      <c r="F26" s="37"/>
      <c r="G26" s="37"/>
      <c r="H26" s="37"/>
      <c r="I26" s="37"/>
      <c r="J26" s="37"/>
      <c r="K26" s="38"/>
      <c r="L26" s="38"/>
      <c r="M26" s="38"/>
      <c r="N26" s="38"/>
    </row>
    <row r="27" customFormat="false" ht="26" hidden="false" customHeight="true" outlineLevel="0" collapsed="false">
      <c r="A27" s="37"/>
      <c r="B27" s="37"/>
      <c r="C27" s="37"/>
      <c r="D27" s="37"/>
      <c r="E27" s="37"/>
      <c r="F27" s="37"/>
      <c r="G27" s="37"/>
      <c r="H27" s="37"/>
      <c r="I27" s="37"/>
      <c r="J27" s="37"/>
      <c r="K27" s="38"/>
      <c r="L27" s="38"/>
      <c r="M27" s="38"/>
      <c r="N27" s="38"/>
    </row>
    <row r="29" customFormat="false" ht="24" hidden="false" customHeight="true" outlineLevel="0" collapsed="false">
      <c r="A29" s="41" t="s">
        <v>380</v>
      </c>
      <c r="B29" s="41"/>
      <c r="C29" s="41"/>
      <c r="D29" s="41"/>
      <c r="E29" s="41"/>
      <c r="F29" s="41"/>
      <c r="G29" s="41"/>
      <c r="H29" s="41"/>
      <c r="I29" s="41"/>
      <c r="J29" s="41"/>
      <c r="K29" s="41"/>
      <c r="L29" s="41"/>
      <c r="M29" s="41"/>
      <c r="N29" s="41"/>
    </row>
    <row r="30" customFormat="false" ht="24" hidden="false" customHeight="true" outlineLevel="0" collapsed="false">
      <c r="A30" s="36" t="s">
        <v>381</v>
      </c>
      <c r="B30" s="36"/>
      <c r="C30" s="36" t="s">
        <v>382</v>
      </c>
      <c r="D30" s="36"/>
      <c r="E30" s="36" t="s">
        <v>383</v>
      </c>
      <c r="F30" s="36"/>
      <c r="G30" s="36" t="s">
        <v>384</v>
      </c>
      <c r="H30" s="36"/>
      <c r="I30" s="36" t="s">
        <v>385</v>
      </c>
      <c r="J30" s="36"/>
      <c r="K30" s="36" t="s">
        <v>386</v>
      </c>
      <c r="L30" s="36"/>
      <c r="M30" s="36" t="s">
        <v>387</v>
      </c>
      <c r="N30" s="36"/>
    </row>
    <row r="31" customFormat="false" ht="26" hidden="false" customHeight="true" outlineLevel="0" collapsed="false">
      <c r="A31" s="37" t="s">
        <v>388</v>
      </c>
      <c r="B31" s="37"/>
      <c r="C31" s="37" t="s">
        <v>389</v>
      </c>
      <c r="D31" s="37"/>
      <c r="E31" s="37" t="s">
        <v>390</v>
      </c>
      <c r="F31" s="37"/>
      <c r="G31" s="37" t="s">
        <v>391</v>
      </c>
      <c r="H31" s="37"/>
      <c r="I31" s="37" t="s">
        <v>392</v>
      </c>
      <c r="J31" s="37"/>
      <c r="K31" s="38" t="s">
        <v>393</v>
      </c>
      <c r="L31" s="38"/>
      <c r="M31" s="38" t="s">
        <v>394</v>
      </c>
      <c r="N31" s="38"/>
    </row>
    <row r="32" customFormat="false" ht="26" hidden="false" customHeight="true" outlineLevel="0" collapsed="false">
      <c r="A32" s="37"/>
      <c r="B32" s="37"/>
      <c r="C32" s="37"/>
      <c r="D32" s="37"/>
      <c r="E32" s="37"/>
      <c r="F32" s="37"/>
      <c r="G32" s="37"/>
      <c r="H32" s="37"/>
      <c r="I32" s="37"/>
      <c r="J32" s="37"/>
      <c r="K32" s="38"/>
      <c r="L32" s="38"/>
      <c r="M32" s="38"/>
      <c r="N32" s="38"/>
    </row>
    <row r="33" customFormat="false" ht="26" hidden="false" customHeight="true" outlineLevel="0" collapsed="false">
      <c r="A33" s="37"/>
      <c r="B33" s="37"/>
      <c r="C33" s="37"/>
      <c r="D33" s="37"/>
      <c r="E33" s="37"/>
      <c r="F33" s="37"/>
      <c r="G33" s="37"/>
      <c r="H33" s="37"/>
      <c r="I33" s="37"/>
      <c r="J33" s="37"/>
      <c r="K33" s="38"/>
      <c r="L33" s="38"/>
      <c r="M33" s="38"/>
      <c r="N33" s="38"/>
    </row>
    <row r="34" customFormat="false" ht="26" hidden="false" customHeight="true" outlineLevel="0" collapsed="false">
      <c r="A34" s="37"/>
      <c r="B34" s="37"/>
      <c r="C34" s="37"/>
      <c r="D34" s="37"/>
      <c r="E34" s="37"/>
      <c r="F34" s="37"/>
      <c r="G34" s="37"/>
      <c r="H34" s="37"/>
      <c r="I34" s="37"/>
      <c r="J34" s="37"/>
      <c r="K34" s="38"/>
      <c r="L34" s="38"/>
      <c r="M34" s="38"/>
      <c r="N34" s="38"/>
    </row>
    <row r="35" customFormat="false" ht="26" hidden="false" customHeight="true" outlineLevel="0" collapsed="false">
      <c r="A35" s="37"/>
      <c r="B35" s="37"/>
      <c r="C35" s="37"/>
      <c r="D35" s="37"/>
      <c r="E35" s="37"/>
      <c r="F35" s="37"/>
      <c r="G35" s="37"/>
      <c r="H35" s="37"/>
      <c r="I35" s="37"/>
      <c r="J35" s="37"/>
      <c r="K35" s="38"/>
      <c r="L35" s="38"/>
      <c r="M35" s="38"/>
      <c r="N35" s="38"/>
    </row>
    <row r="37" customFormat="false" ht="24" hidden="false" customHeight="true" outlineLevel="0" collapsed="false">
      <c r="A37" s="42" t="s">
        <v>395</v>
      </c>
      <c r="B37" s="42"/>
      <c r="C37" s="42"/>
      <c r="D37" s="42"/>
      <c r="E37" s="42"/>
      <c r="F37" s="42"/>
      <c r="G37" s="42"/>
      <c r="H37" s="42"/>
      <c r="I37" s="42"/>
      <c r="J37" s="42"/>
      <c r="K37" s="42"/>
      <c r="L37" s="42"/>
      <c r="M37" s="42"/>
      <c r="N37" s="42"/>
    </row>
    <row r="38" customFormat="false" ht="24" hidden="false" customHeight="true" outlineLevel="0" collapsed="false">
      <c r="A38" s="36" t="s">
        <v>396</v>
      </c>
      <c r="B38" s="36"/>
      <c r="C38" s="36" t="s">
        <v>397</v>
      </c>
      <c r="D38" s="36"/>
      <c r="E38" s="36" t="s">
        <v>398</v>
      </c>
      <c r="F38" s="36"/>
      <c r="G38" s="36" t="s">
        <v>399</v>
      </c>
      <c r="H38" s="36"/>
      <c r="I38" s="36" t="s">
        <v>400</v>
      </c>
      <c r="J38" s="36"/>
      <c r="K38" s="36" t="s">
        <v>401</v>
      </c>
      <c r="L38" s="36"/>
      <c r="M38" s="36" t="s">
        <v>402</v>
      </c>
      <c r="N38" s="36"/>
    </row>
    <row r="39" customFormat="false" ht="26" hidden="false" customHeight="true" outlineLevel="0" collapsed="false">
      <c r="A39" s="37" t="s">
        <v>403</v>
      </c>
      <c r="B39" s="37"/>
      <c r="C39" s="37" t="s">
        <v>404</v>
      </c>
      <c r="D39" s="37"/>
      <c r="E39" s="37" t="s">
        <v>405</v>
      </c>
      <c r="F39" s="37"/>
      <c r="G39" s="37" t="s">
        <v>406</v>
      </c>
      <c r="H39" s="37"/>
      <c r="I39" s="37" t="s">
        <v>407</v>
      </c>
      <c r="J39" s="37"/>
      <c r="K39" s="38" t="s">
        <v>408</v>
      </c>
      <c r="L39" s="38"/>
      <c r="M39" s="38" t="s">
        <v>409</v>
      </c>
      <c r="N39" s="38"/>
    </row>
    <row r="40" customFormat="false" ht="26" hidden="false" customHeight="true" outlineLevel="0" collapsed="false">
      <c r="A40" s="37"/>
      <c r="B40" s="37"/>
      <c r="C40" s="37"/>
      <c r="D40" s="37"/>
      <c r="E40" s="37"/>
      <c r="F40" s="37"/>
      <c r="G40" s="37"/>
      <c r="H40" s="37"/>
      <c r="I40" s="37"/>
      <c r="J40" s="37"/>
      <c r="K40" s="38"/>
      <c r="L40" s="38"/>
      <c r="M40" s="38"/>
      <c r="N40" s="38"/>
    </row>
    <row r="41" customFormat="false" ht="26" hidden="false" customHeight="true" outlineLevel="0" collapsed="false">
      <c r="A41" s="37"/>
      <c r="B41" s="37"/>
      <c r="C41" s="37"/>
      <c r="D41" s="37"/>
      <c r="E41" s="37"/>
      <c r="F41" s="37"/>
      <c r="G41" s="37"/>
      <c r="H41" s="37"/>
      <c r="I41" s="37"/>
      <c r="J41" s="37"/>
      <c r="K41" s="38"/>
      <c r="L41" s="38"/>
      <c r="M41" s="38"/>
      <c r="N41" s="38"/>
    </row>
    <row r="42" customFormat="false" ht="26" hidden="false" customHeight="true" outlineLevel="0" collapsed="false">
      <c r="A42" s="37"/>
      <c r="B42" s="37"/>
      <c r="C42" s="37"/>
      <c r="D42" s="37"/>
      <c r="E42" s="37"/>
      <c r="F42" s="37"/>
      <c r="G42" s="37"/>
      <c r="H42" s="37"/>
      <c r="I42" s="37"/>
      <c r="J42" s="37"/>
      <c r="K42" s="38"/>
      <c r="L42" s="38"/>
      <c r="M42" s="38"/>
      <c r="N42" s="38"/>
    </row>
    <row r="43" customFormat="false" ht="26" hidden="false" customHeight="true" outlineLevel="0" collapsed="false">
      <c r="A43" s="37"/>
      <c r="B43" s="37"/>
      <c r="C43" s="37"/>
      <c r="D43" s="37"/>
      <c r="E43" s="37"/>
      <c r="F43" s="37"/>
      <c r="G43" s="37"/>
      <c r="H43" s="37"/>
      <c r="I43" s="37"/>
      <c r="J43" s="37"/>
      <c r="K43" s="38"/>
      <c r="L43" s="38"/>
      <c r="M43" s="38"/>
      <c r="N43" s="38"/>
    </row>
    <row r="45" customFormat="false" ht="24" hidden="false" customHeight="true" outlineLevel="0" collapsed="false">
      <c r="A45" s="43" t="s">
        <v>410</v>
      </c>
      <c r="B45" s="43"/>
      <c r="C45" s="43"/>
      <c r="D45" s="43"/>
      <c r="E45" s="43"/>
      <c r="F45" s="43"/>
      <c r="G45" s="43"/>
      <c r="H45" s="43"/>
      <c r="I45" s="43"/>
      <c r="J45" s="43"/>
      <c r="K45" s="43"/>
      <c r="L45" s="43"/>
      <c r="M45" s="43"/>
      <c r="N45" s="43"/>
    </row>
    <row r="46" customFormat="false" ht="24" hidden="false" customHeight="true" outlineLevel="0" collapsed="false">
      <c r="A46" s="36" t="s">
        <v>411</v>
      </c>
      <c r="B46" s="36"/>
      <c r="C46" s="36"/>
      <c r="D46" s="36"/>
      <c r="E46" s="36"/>
      <c r="F46" s="36"/>
      <c r="G46" s="36"/>
      <c r="H46" s="36"/>
      <c r="I46" s="36"/>
      <c r="J46" s="36"/>
      <c r="K46" s="36"/>
      <c r="L46" s="36"/>
      <c r="M46" s="36"/>
      <c r="N46" s="36"/>
    </row>
    <row r="47" customFormat="false" ht="26" hidden="false" customHeight="true" outlineLevel="0" collapsed="false">
      <c r="A47" s="37" t="s">
        <v>412</v>
      </c>
      <c r="B47" s="37"/>
      <c r="C47" s="44"/>
      <c r="D47" s="44"/>
      <c r="E47" s="44"/>
      <c r="F47" s="44"/>
      <c r="G47" s="44"/>
      <c r="H47" s="44"/>
      <c r="I47" s="44"/>
      <c r="J47" s="44"/>
      <c r="K47" s="44"/>
      <c r="L47" s="44"/>
      <c r="M47" s="44"/>
      <c r="N47" s="44"/>
    </row>
    <row r="48" customFormat="false" ht="26" hidden="false" customHeight="true" outlineLevel="0" collapsed="false">
      <c r="A48" s="37"/>
      <c r="B48" s="37"/>
      <c r="C48" s="44"/>
      <c r="D48" s="44"/>
      <c r="E48" s="44"/>
      <c r="F48" s="44"/>
      <c r="G48" s="44"/>
      <c r="H48" s="44"/>
      <c r="I48" s="44"/>
      <c r="J48" s="44"/>
      <c r="K48" s="44"/>
      <c r="L48" s="44"/>
      <c r="M48" s="44"/>
      <c r="N48" s="44"/>
    </row>
    <row r="49" customFormat="false" ht="26" hidden="false" customHeight="true" outlineLevel="0" collapsed="false">
      <c r="A49" s="37"/>
      <c r="B49" s="37"/>
      <c r="C49" s="44"/>
      <c r="D49" s="44"/>
      <c r="E49" s="44"/>
      <c r="F49" s="44"/>
      <c r="G49" s="44"/>
      <c r="H49" s="44"/>
      <c r="I49" s="44"/>
      <c r="J49" s="44"/>
      <c r="K49" s="44"/>
      <c r="L49" s="44"/>
      <c r="M49" s="44"/>
      <c r="N49" s="44"/>
    </row>
    <row r="50" customFormat="false" ht="26" hidden="false" customHeight="true" outlineLevel="0" collapsed="false">
      <c r="A50" s="37"/>
      <c r="B50" s="37"/>
      <c r="C50" s="44"/>
      <c r="D50" s="44"/>
      <c r="E50" s="44"/>
      <c r="F50" s="44"/>
      <c r="G50" s="44"/>
      <c r="H50" s="44"/>
      <c r="I50" s="44"/>
      <c r="J50" s="44"/>
      <c r="K50" s="44"/>
      <c r="L50" s="44"/>
      <c r="M50" s="44"/>
      <c r="N50" s="44"/>
    </row>
    <row r="51" customFormat="false" ht="26" hidden="false" customHeight="true" outlineLevel="0" collapsed="false">
      <c r="A51" s="37"/>
      <c r="B51" s="37"/>
      <c r="C51" s="44"/>
      <c r="D51" s="44"/>
      <c r="E51" s="44"/>
      <c r="F51" s="44"/>
      <c r="G51" s="44"/>
      <c r="H51" s="44"/>
      <c r="I51" s="44"/>
      <c r="J51" s="44"/>
      <c r="K51" s="44"/>
      <c r="L51" s="44"/>
      <c r="M51" s="44"/>
      <c r="N51" s="44"/>
    </row>
  </sheetData>
  <mergeCells count="92">
    <mergeCell ref="A2:N2"/>
    <mergeCell ref="A3:N3"/>
    <mergeCell ref="A5:N5"/>
    <mergeCell ref="A6:B6"/>
    <mergeCell ref="C6:D6"/>
    <mergeCell ref="E6:F6"/>
    <mergeCell ref="G6:H6"/>
    <mergeCell ref="I6:J6"/>
    <mergeCell ref="K6:L6"/>
    <mergeCell ref="M6:N6"/>
    <mergeCell ref="A7:B11"/>
    <mergeCell ref="C7:D11"/>
    <mergeCell ref="E7:F11"/>
    <mergeCell ref="G7:H11"/>
    <mergeCell ref="I7:J11"/>
    <mergeCell ref="K7:L11"/>
    <mergeCell ref="M7:N11"/>
    <mergeCell ref="A13:N13"/>
    <mergeCell ref="A14:B14"/>
    <mergeCell ref="C14:D14"/>
    <mergeCell ref="E14:F14"/>
    <mergeCell ref="G14:H14"/>
    <mergeCell ref="I14:J14"/>
    <mergeCell ref="K14:L14"/>
    <mergeCell ref="M14:N14"/>
    <mergeCell ref="A15:B19"/>
    <mergeCell ref="C15:D19"/>
    <mergeCell ref="E15:F19"/>
    <mergeCell ref="G15:H19"/>
    <mergeCell ref="I15:J19"/>
    <mergeCell ref="K15:L19"/>
    <mergeCell ref="M15:N19"/>
    <mergeCell ref="A21:N21"/>
    <mergeCell ref="A22:B22"/>
    <mergeCell ref="C22:D22"/>
    <mergeCell ref="E22:F22"/>
    <mergeCell ref="G22:H22"/>
    <mergeCell ref="I22:J22"/>
    <mergeCell ref="K22:L22"/>
    <mergeCell ref="M22:N22"/>
    <mergeCell ref="A23:B27"/>
    <mergeCell ref="C23:D27"/>
    <mergeCell ref="E23:F27"/>
    <mergeCell ref="G23:H27"/>
    <mergeCell ref="I23:J27"/>
    <mergeCell ref="K23:L27"/>
    <mergeCell ref="M23:N27"/>
    <mergeCell ref="A29:N29"/>
    <mergeCell ref="A30:B30"/>
    <mergeCell ref="C30:D30"/>
    <mergeCell ref="E30:F30"/>
    <mergeCell ref="G30:H30"/>
    <mergeCell ref="I30:J30"/>
    <mergeCell ref="K30:L30"/>
    <mergeCell ref="M30:N30"/>
    <mergeCell ref="A31:B35"/>
    <mergeCell ref="C31:D35"/>
    <mergeCell ref="E31:F35"/>
    <mergeCell ref="G31:H35"/>
    <mergeCell ref="I31:J35"/>
    <mergeCell ref="K31:L35"/>
    <mergeCell ref="M31:N35"/>
    <mergeCell ref="A37:N37"/>
    <mergeCell ref="A38:B38"/>
    <mergeCell ref="C38:D38"/>
    <mergeCell ref="E38:F38"/>
    <mergeCell ref="G38:H38"/>
    <mergeCell ref="I38:J38"/>
    <mergeCell ref="K38:L38"/>
    <mergeCell ref="M38:N38"/>
    <mergeCell ref="A39:B43"/>
    <mergeCell ref="C39:D43"/>
    <mergeCell ref="E39:F43"/>
    <mergeCell ref="G39:H43"/>
    <mergeCell ref="I39:J43"/>
    <mergeCell ref="K39:L43"/>
    <mergeCell ref="M39:N43"/>
    <mergeCell ref="A45:N45"/>
    <mergeCell ref="A46:B46"/>
    <mergeCell ref="C46:D46"/>
    <mergeCell ref="E46:F46"/>
    <mergeCell ref="G46:H46"/>
    <mergeCell ref="I46:J46"/>
    <mergeCell ref="K46:L46"/>
    <mergeCell ref="M46:N46"/>
    <mergeCell ref="A47:B51"/>
    <mergeCell ref="C47:D51"/>
    <mergeCell ref="E47:F51"/>
    <mergeCell ref="G47:H51"/>
    <mergeCell ref="I47:J51"/>
    <mergeCell ref="K47:L51"/>
    <mergeCell ref="M47:N5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8794"/>
    <pageSetUpPr fitToPage="false"/>
  </sheetPr>
  <dimension ref="A2: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5"/>
    <col collapsed="false" customWidth="true" hidden="false" outlineLevel="0" max="3" min="2" style="0" width="65"/>
  </cols>
  <sheetData>
    <row r="2" customFormat="false" ht="19.7" hidden="false" customHeight="false" outlineLevel="0" collapsed="false">
      <c r="A2" s="1" t="s">
        <v>413</v>
      </c>
      <c r="B2" s="1"/>
      <c r="C2" s="1"/>
    </row>
    <row r="3" customFormat="false" ht="15" hidden="false" customHeight="false" outlineLevel="0" collapsed="false">
      <c r="A3" s="2" t="s">
        <v>414</v>
      </c>
      <c r="B3" s="2"/>
      <c r="C3" s="2"/>
    </row>
    <row r="5" customFormat="false" ht="15" hidden="false" customHeight="false" outlineLevel="0" collapsed="false">
      <c r="A5" s="45" t="s">
        <v>415</v>
      </c>
      <c r="B5" s="45" t="s">
        <v>416</v>
      </c>
      <c r="C5" s="45" t="s">
        <v>417</v>
      </c>
    </row>
    <row r="6" customFormat="false" ht="48" hidden="false" customHeight="true" outlineLevel="0" collapsed="false">
      <c r="A6" s="46" t="s">
        <v>418</v>
      </c>
      <c r="B6" s="46" t="s">
        <v>419</v>
      </c>
      <c r="C6" s="46" t="s">
        <v>420</v>
      </c>
    </row>
    <row r="7" customFormat="false" ht="48" hidden="false" customHeight="true" outlineLevel="0" collapsed="false">
      <c r="A7" s="23" t="s">
        <v>421</v>
      </c>
      <c r="B7" s="23" t="s">
        <v>422</v>
      </c>
      <c r="C7" s="23" t="s">
        <v>423</v>
      </c>
    </row>
    <row r="8" customFormat="false" ht="48" hidden="false" customHeight="true" outlineLevel="0" collapsed="false">
      <c r="A8" s="23" t="s">
        <v>424</v>
      </c>
      <c r="B8" s="23" t="s">
        <v>425</v>
      </c>
      <c r="C8" s="23" t="s">
        <v>426</v>
      </c>
    </row>
    <row r="9" customFormat="false" ht="48" hidden="false" customHeight="true" outlineLevel="0" collapsed="false">
      <c r="A9" s="23" t="s">
        <v>427</v>
      </c>
      <c r="B9" s="23" t="s">
        <v>428</v>
      </c>
      <c r="C9" s="23" t="s">
        <v>429</v>
      </c>
    </row>
    <row r="10" customFormat="false" ht="48" hidden="false" customHeight="true" outlineLevel="0" collapsed="false">
      <c r="A10" s="23" t="s">
        <v>430</v>
      </c>
      <c r="B10" s="23" t="s">
        <v>431</v>
      </c>
      <c r="C10" s="23" t="s">
        <v>432</v>
      </c>
    </row>
    <row r="11" customFormat="false" ht="48" hidden="false" customHeight="true" outlineLevel="0" collapsed="false">
      <c r="A11" s="23" t="s">
        <v>433</v>
      </c>
      <c r="B11" s="23" t="s">
        <v>434</v>
      </c>
      <c r="C11" s="23" t="s">
        <v>435</v>
      </c>
    </row>
    <row r="12" customFormat="false" ht="48" hidden="false" customHeight="true" outlineLevel="0" collapsed="false">
      <c r="A12" s="23" t="s">
        <v>436</v>
      </c>
      <c r="B12" s="23" t="s">
        <v>437</v>
      </c>
      <c r="C12" s="23" t="s">
        <v>438</v>
      </c>
    </row>
    <row r="13" customFormat="false" ht="48" hidden="false" customHeight="true" outlineLevel="0" collapsed="false">
      <c r="A13" s="23" t="s">
        <v>439</v>
      </c>
      <c r="B13" s="23" t="s">
        <v>440</v>
      </c>
      <c r="C13" s="23" t="s">
        <v>441</v>
      </c>
    </row>
    <row r="14" customFormat="false" ht="48" hidden="false" customHeight="true" outlineLevel="0" collapsed="false">
      <c r="A14" s="23" t="s">
        <v>442</v>
      </c>
      <c r="B14" s="23" t="s">
        <v>443</v>
      </c>
      <c r="C14" s="23" t="s">
        <v>444</v>
      </c>
    </row>
    <row r="15" customFormat="false" ht="48" hidden="false" customHeight="true" outlineLevel="0" collapsed="false">
      <c r="A15" s="23" t="s">
        <v>445</v>
      </c>
      <c r="B15" s="23" t="s">
        <v>446</v>
      </c>
      <c r="C15" s="23" t="s">
        <v>447</v>
      </c>
    </row>
    <row r="16" customFormat="false" ht="48" hidden="false" customHeight="true" outlineLevel="0" collapsed="false">
      <c r="A16" s="23" t="s">
        <v>448</v>
      </c>
      <c r="B16" s="23" t="s">
        <v>449</v>
      </c>
      <c r="C16" s="23" t="s">
        <v>450</v>
      </c>
    </row>
    <row r="17" customFormat="false" ht="48" hidden="false" customHeight="true" outlineLevel="0" collapsed="false">
      <c r="A17" s="23" t="s">
        <v>451</v>
      </c>
      <c r="B17" s="23" t="s">
        <v>452</v>
      </c>
      <c r="C17" s="23" t="s">
        <v>453</v>
      </c>
    </row>
    <row r="18" customFormat="false" ht="48" hidden="false" customHeight="true" outlineLevel="0" collapsed="false">
      <c r="A18" s="23" t="s">
        <v>454</v>
      </c>
      <c r="B18" s="23" t="s">
        <v>455</v>
      </c>
      <c r="C18" s="23" t="s">
        <v>456</v>
      </c>
    </row>
    <row r="19" customFormat="false" ht="48" hidden="false" customHeight="true" outlineLevel="0" collapsed="false">
      <c r="A19" s="23" t="s">
        <v>218</v>
      </c>
      <c r="B19" s="23" t="s">
        <v>457</v>
      </c>
      <c r="C19" s="23" t="s">
        <v>458</v>
      </c>
    </row>
    <row r="20" customFormat="false" ht="48" hidden="false" customHeight="true" outlineLevel="0" collapsed="false">
      <c r="A20" s="23" t="s">
        <v>224</v>
      </c>
      <c r="B20" s="23" t="s">
        <v>459</v>
      </c>
      <c r="C20" s="23" t="s">
        <v>460</v>
      </c>
    </row>
    <row r="21" customFormat="false" ht="48" hidden="false" customHeight="true" outlineLevel="0" collapsed="false">
      <c r="A21" s="23" t="s">
        <v>461</v>
      </c>
      <c r="B21" s="23" t="s">
        <v>462</v>
      </c>
      <c r="C21" s="23" t="s">
        <v>463</v>
      </c>
    </row>
    <row r="22" customFormat="false" ht="48" hidden="false" customHeight="true" outlineLevel="0" collapsed="false">
      <c r="A22" s="47" t="s">
        <v>464</v>
      </c>
      <c r="B22" s="47" t="s">
        <v>465</v>
      </c>
      <c r="C22" s="47" t="s">
        <v>466</v>
      </c>
    </row>
  </sheetData>
  <mergeCells count="2">
    <mergeCell ref="A2:C2"/>
    <mergeCell ref="A3:C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3" min="3" style="0" width="50"/>
    <col collapsed="false" customWidth="true" hidden="false" outlineLevel="0" max="4" min="4" style="0" width="14"/>
  </cols>
  <sheetData>
    <row r="1" customFormat="false" ht="16.15" hidden="false" customHeight="false" outlineLevel="0" collapsed="false">
      <c r="A1" s="6" t="s">
        <v>467</v>
      </c>
    </row>
    <row r="3" customFormat="false" ht="15" hidden="false" customHeight="false" outlineLevel="0" collapsed="false">
      <c r="A3" s="48" t="s">
        <v>468</v>
      </c>
    </row>
    <row r="4" customFormat="false" ht="15" hidden="false" customHeight="false" outlineLevel="0" collapsed="false">
      <c r="A4" s="7" t="s">
        <v>469</v>
      </c>
      <c r="B4" s="7" t="s">
        <v>470</v>
      </c>
      <c r="C4" s="7" t="s">
        <v>471</v>
      </c>
    </row>
    <row r="5" customFormat="false" ht="23.85" hidden="false" customHeight="false" outlineLevel="0" collapsed="false">
      <c r="A5" s="8" t="s">
        <v>472</v>
      </c>
      <c r="B5" s="8" t="s">
        <v>473</v>
      </c>
      <c r="C5" s="8" t="s">
        <v>370</v>
      </c>
    </row>
    <row r="6" customFormat="false" ht="15" hidden="false" customHeight="false" outlineLevel="0" collapsed="false">
      <c r="A6" s="8" t="s">
        <v>474</v>
      </c>
      <c r="B6" s="8" t="s">
        <v>475</v>
      </c>
      <c r="C6" s="8" t="s">
        <v>382</v>
      </c>
    </row>
    <row r="7" customFormat="false" ht="15" hidden="false" customHeight="false" outlineLevel="0" collapsed="false">
      <c r="A7" s="8" t="s">
        <v>476</v>
      </c>
      <c r="B7" s="8" t="s">
        <v>477</v>
      </c>
      <c r="C7" s="8" t="s">
        <v>351</v>
      </c>
    </row>
    <row r="8" customFormat="false" ht="15" hidden="false" customHeight="false" outlineLevel="0" collapsed="false">
      <c r="A8" s="8" t="s">
        <v>478</v>
      </c>
      <c r="B8" s="8" t="s">
        <v>479</v>
      </c>
      <c r="C8" s="8" t="s">
        <v>351</v>
      </c>
    </row>
    <row r="9" customFormat="false" ht="15" hidden="false" customHeight="false" outlineLevel="0" collapsed="false">
      <c r="A9" s="8" t="s">
        <v>480</v>
      </c>
      <c r="B9" s="8" t="s">
        <v>481</v>
      </c>
      <c r="C9" s="8" t="s">
        <v>386</v>
      </c>
    </row>
    <row r="10" customFormat="false" ht="15" hidden="false" customHeight="false" outlineLevel="0" collapsed="false">
      <c r="A10" s="8" t="s">
        <v>482</v>
      </c>
      <c r="B10" s="8" t="s">
        <v>483</v>
      </c>
      <c r="C10" s="8" t="s">
        <v>383</v>
      </c>
    </row>
    <row r="11" customFormat="false" ht="15" hidden="false" customHeight="false" outlineLevel="0" collapsed="false">
      <c r="A11" s="8" t="s">
        <v>484</v>
      </c>
      <c r="B11" s="8" t="s">
        <v>485</v>
      </c>
      <c r="C11" s="8" t="s">
        <v>372</v>
      </c>
    </row>
    <row r="12" customFormat="false" ht="15" hidden="false" customHeight="false" outlineLevel="0" collapsed="false">
      <c r="A12" s="8" t="s">
        <v>486</v>
      </c>
      <c r="B12" s="8" t="s">
        <v>487</v>
      </c>
      <c r="C12" s="8" t="s">
        <v>372</v>
      </c>
    </row>
    <row r="13" customFormat="false" ht="15" hidden="false" customHeight="false" outlineLevel="0" collapsed="false">
      <c r="A13" s="8" t="s">
        <v>488</v>
      </c>
      <c r="B13" s="8" t="s">
        <v>489</v>
      </c>
      <c r="C13" s="8" t="s">
        <v>386</v>
      </c>
    </row>
    <row r="15" customFormat="false" ht="15" hidden="false" customHeight="false" outlineLevel="0" collapsed="false">
      <c r="A15" s="48" t="s">
        <v>490</v>
      </c>
    </row>
    <row r="16" customFormat="false" ht="15" hidden="false" customHeight="false" outlineLevel="0" collapsed="false">
      <c r="A16" s="7" t="s">
        <v>59</v>
      </c>
      <c r="B16" s="7" t="s">
        <v>491</v>
      </c>
      <c r="C16" s="7" t="s">
        <v>492</v>
      </c>
      <c r="D16" s="7" t="s">
        <v>493</v>
      </c>
    </row>
    <row r="17" customFormat="false" ht="15" hidden="false" customHeight="false" outlineLevel="0" collapsed="false">
      <c r="A17" s="8" t="s">
        <v>339</v>
      </c>
      <c r="B17" s="8" t="s">
        <v>494</v>
      </c>
      <c r="C17" s="8" t="s">
        <v>495</v>
      </c>
      <c r="D17" s="8" t="s">
        <v>496</v>
      </c>
    </row>
    <row r="18" customFormat="false" ht="23.85" hidden="false" customHeight="false" outlineLevel="0" collapsed="false">
      <c r="A18" s="8" t="s">
        <v>339</v>
      </c>
      <c r="B18" s="8" t="s">
        <v>497</v>
      </c>
      <c r="C18" s="8" t="s">
        <v>498</v>
      </c>
      <c r="D18" s="8" t="s">
        <v>496</v>
      </c>
    </row>
    <row r="19" customFormat="false" ht="15" hidden="false" customHeight="false" outlineLevel="0" collapsed="false">
      <c r="A19" s="8" t="s">
        <v>339</v>
      </c>
      <c r="B19" s="8" t="s">
        <v>499</v>
      </c>
      <c r="C19" s="8" t="s">
        <v>500</v>
      </c>
      <c r="D19" s="8" t="s">
        <v>496</v>
      </c>
    </row>
    <row r="20" customFormat="false" ht="15" hidden="false" customHeight="false" outlineLevel="0" collapsed="false">
      <c r="A20" s="8" t="s">
        <v>340</v>
      </c>
      <c r="B20" s="8" t="s">
        <v>501</v>
      </c>
      <c r="C20" s="8" t="s">
        <v>502</v>
      </c>
      <c r="D20" s="8" t="s">
        <v>496</v>
      </c>
    </row>
    <row r="21" customFormat="false" ht="15" hidden="false" customHeight="false" outlineLevel="0" collapsed="false">
      <c r="A21" s="8" t="s">
        <v>340</v>
      </c>
      <c r="B21" s="8" t="s">
        <v>503</v>
      </c>
      <c r="C21" s="8" t="s">
        <v>504</v>
      </c>
      <c r="D21" s="8" t="s">
        <v>496</v>
      </c>
    </row>
    <row r="22" customFormat="false" ht="15" hidden="false" customHeight="false" outlineLevel="0" collapsed="false">
      <c r="A22" s="8" t="s">
        <v>340</v>
      </c>
      <c r="B22" s="8" t="s">
        <v>505</v>
      </c>
      <c r="C22" s="8" t="s">
        <v>506</v>
      </c>
      <c r="D22" s="8" t="s">
        <v>496</v>
      </c>
    </row>
    <row r="23" customFormat="false" ht="23.85" hidden="false" customHeight="false" outlineLevel="0" collapsed="false">
      <c r="A23" s="8" t="s">
        <v>341</v>
      </c>
      <c r="B23" s="8" t="s">
        <v>507</v>
      </c>
      <c r="C23" s="8" t="s">
        <v>508</v>
      </c>
      <c r="D23" s="8" t="s">
        <v>496</v>
      </c>
    </row>
    <row r="24" customFormat="false" ht="23.85" hidden="false" customHeight="false" outlineLevel="0" collapsed="false">
      <c r="A24" s="8" t="s">
        <v>341</v>
      </c>
      <c r="B24" s="8" t="s">
        <v>509</v>
      </c>
      <c r="C24" s="8" t="s">
        <v>510</v>
      </c>
      <c r="D24" s="8" t="s">
        <v>496</v>
      </c>
    </row>
    <row r="25" customFormat="false" ht="15" hidden="false" customHeight="false" outlineLevel="0" collapsed="false">
      <c r="A25" s="8" t="s">
        <v>341</v>
      </c>
      <c r="B25" s="8" t="s">
        <v>511</v>
      </c>
      <c r="C25" s="8" t="s">
        <v>510</v>
      </c>
      <c r="D25" s="8" t="s">
        <v>496</v>
      </c>
    </row>
    <row r="26" customFormat="false" ht="23.85" hidden="false" customHeight="false" outlineLevel="0" collapsed="false">
      <c r="A26" s="8" t="s">
        <v>341</v>
      </c>
      <c r="B26" s="8" t="s">
        <v>512</v>
      </c>
      <c r="C26" s="8" t="s">
        <v>513</v>
      </c>
      <c r="D26" s="8" t="s">
        <v>496</v>
      </c>
    </row>
    <row r="27" customFormat="false" ht="15" hidden="false" customHeight="false" outlineLevel="0" collapsed="false">
      <c r="A27" s="8" t="s">
        <v>341</v>
      </c>
      <c r="B27" s="8" t="s">
        <v>514</v>
      </c>
      <c r="C27" s="8" t="s">
        <v>515</v>
      </c>
      <c r="D27" s="8" t="s">
        <v>496</v>
      </c>
    </row>
    <row r="28" customFormat="false" ht="15" hidden="false" customHeight="false" outlineLevel="0" collapsed="false">
      <c r="A28" s="8" t="s">
        <v>341</v>
      </c>
      <c r="B28" s="8" t="s">
        <v>516</v>
      </c>
      <c r="C28" s="8" t="s">
        <v>517</v>
      </c>
      <c r="D28" s="8" t="s">
        <v>518</v>
      </c>
    </row>
    <row r="29" customFormat="false" ht="35.05" hidden="false" customHeight="false" outlineLevel="0" collapsed="false">
      <c r="A29" s="8" t="s">
        <v>341</v>
      </c>
      <c r="B29" s="8" t="s">
        <v>519</v>
      </c>
      <c r="C29" s="8" t="s">
        <v>520</v>
      </c>
      <c r="D29" s="8" t="s">
        <v>496</v>
      </c>
    </row>
    <row r="30" customFormat="false" ht="15" hidden="false" customHeight="false" outlineLevel="0" collapsed="false">
      <c r="A30" s="8" t="s">
        <v>342</v>
      </c>
      <c r="B30" s="8" t="s">
        <v>521</v>
      </c>
      <c r="C30" s="8" t="s">
        <v>522</v>
      </c>
      <c r="D30" s="8" t="s">
        <v>496</v>
      </c>
    </row>
    <row r="31" customFormat="false" ht="23.85" hidden="false" customHeight="false" outlineLevel="0" collapsed="false">
      <c r="A31" s="8" t="s">
        <v>342</v>
      </c>
      <c r="B31" s="8" t="s">
        <v>523</v>
      </c>
      <c r="C31" s="8" t="s">
        <v>524</v>
      </c>
      <c r="D31" s="8" t="s">
        <v>525</v>
      </c>
    </row>
    <row r="32" customFormat="false" ht="23.85" hidden="false" customHeight="false" outlineLevel="0" collapsed="false">
      <c r="A32" s="8" t="s">
        <v>342</v>
      </c>
      <c r="B32" s="8" t="s">
        <v>526</v>
      </c>
      <c r="C32" s="8" t="s">
        <v>527</v>
      </c>
      <c r="D32" s="8" t="s">
        <v>496</v>
      </c>
    </row>
    <row r="33" customFormat="false" ht="23.85" hidden="false" customHeight="false" outlineLevel="0" collapsed="false">
      <c r="A33" s="8" t="s">
        <v>342</v>
      </c>
      <c r="B33" s="8" t="s">
        <v>528</v>
      </c>
      <c r="C33" s="8" t="s">
        <v>529</v>
      </c>
      <c r="D33" s="8" t="s">
        <v>496</v>
      </c>
    </row>
    <row r="34" customFormat="false" ht="15" hidden="false" customHeight="false" outlineLevel="0" collapsed="false">
      <c r="A34" s="8" t="s">
        <v>342</v>
      </c>
      <c r="B34" s="8" t="s">
        <v>530</v>
      </c>
      <c r="C34" s="8" t="s">
        <v>531</v>
      </c>
      <c r="D34" s="8" t="s">
        <v>496</v>
      </c>
    </row>
    <row r="35" customFormat="false" ht="23.85" hidden="false" customHeight="false" outlineLevel="0" collapsed="false">
      <c r="A35" s="8" t="s">
        <v>342</v>
      </c>
      <c r="B35" s="8" t="s">
        <v>532</v>
      </c>
      <c r="C35" s="8" t="s">
        <v>529</v>
      </c>
      <c r="D35" s="8" t="s">
        <v>496</v>
      </c>
    </row>
    <row r="36" customFormat="false" ht="15" hidden="false" customHeight="false" outlineLevel="0" collapsed="false">
      <c r="A36" s="8" t="s">
        <v>342</v>
      </c>
      <c r="B36" s="8" t="s">
        <v>533</v>
      </c>
      <c r="C36" s="8" t="s">
        <v>534</v>
      </c>
      <c r="D36" s="8" t="s">
        <v>535</v>
      </c>
    </row>
    <row r="37" customFormat="false" ht="23.85" hidden="false" customHeight="false" outlineLevel="0" collapsed="false">
      <c r="A37" s="8" t="s">
        <v>342</v>
      </c>
      <c r="B37" s="8" t="s">
        <v>536</v>
      </c>
      <c r="C37" s="8" t="s">
        <v>537</v>
      </c>
      <c r="D37" s="8" t="s">
        <v>45</v>
      </c>
    </row>
    <row r="38" customFormat="false" ht="15" hidden="false" customHeight="false" outlineLevel="0" collapsed="false">
      <c r="A38" s="8" t="s">
        <v>342</v>
      </c>
      <c r="B38" s="8" t="s">
        <v>538</v>
      </c>
      <c r="C38" s="8" t="s">
        <v>539</v>
      </c>
      <c r="D38" s="8" t="s">
        <v>45</v>
      </c>
    </row>
    <row r="39" customFormat="false" ht="23.85" hidden="false" customHeight="false" outlineLevel="0" collapsed="false">
      <c r="A39" s="8" t="s">
        <v>351</v>
      </c>
      <c r="B39" s="8" t="s">
        <v>540</v>
      </c>
      <c r="C39" s="8" t="s">
        <v>468</v>
      </c>
      <c r="D39" s="8" t="s">
        <v>496</v>
      </c>
    </row>
    <row r="40" customFormat="false" ht="23.85" hidden="false" customHeight="false" outlineLevel="0" collapsed="false">
      <c r="A40" s="8" t="s">
        <v>352</v>
      </c>
      <c r="B40" s="8" t="s">
        <v>541</v>
      </c>
      <c r="C40" s="8" t="s">
        <v>542</v>
      </c>
      <c r="D40" s="8" t="s">
        <v>496</v>
      </c>
    </row>
    <row r="41" customFormat="false" ht="23.85" hidden="false" customHeight="false" outlineLevel="0" collapsed="false">
      <c r="A41" s="8" t="s">
        <v>352</v>
      </c>
      <c r="B41" s="8" t="s">
        <v>543</v>
      </c>
      <c r="C41" s="8" t="s">
        <v>544</v>
      </c>
      <c r="D41" s="8" t="s">
        <v>496</v>
      </c>
    </row>
    <row r="42" customFormat="false" ht="23.85" hidden="false" customHeight="false" outlineLevel="0" collapsed="false">
      <c r="A42" s="8" t="s">
        <v>352</v>
      </c>
      <c r="B42" s="8" t="s">
        <v>545</v>
      </c>
      <c r="C42" s="8" t="s">
        <v>546</v>
      </c>
      <c r="D42" s="8" t="s">
        <v>496</v>
      </c>
    </row>
    <row r="43" customFormat="false" ht="23.85" hidden="false" customHeight="false" outlineLevel="0" collapsed="false">
      <c r="A43" s="8" t="s">
        <v>352</v>
      </c>
      <c r="B43" s="8" t="s">
        <v>547</v>
      </c>
      <c r="C43" s="8" t="s">
        <v>548</v>
      </c>
      <c r="D43" s="8" t="s">
        <v>496</v>
      </c>
    </row>
    <row r="44" customFormat="false" ht="23.85" hidden="false" customHeight="false" outlineLevel="0" collapsed="false">
      <c r="A44" s="8" t="s">
        <v>352</v>
      </c>
      <c r="B44" s="8" t="s">
        <v>549</v>
      </c>
      <c r="C44" s="8" t="s">
        <v>550</v>
      </c>
      <c r="D44" s="8" t="s">
        <v>496</v>
      </c>
    </row>
    <row r="45" customFormat="false" ht="23.85" hidden="false" customHeight="false" outlineLevel="0" collapsed="false">
      <c r="A45" s="8" t="s">
        <v>353</v>
      </c>
      <c r="B45" s="8" t="s">
        <v>551</v>
      </c>
      <c r="C45" s="8" t="s">
        <v>552</v>
      </c>
      <c r="D45" s="8" t="s">
        <v>496</v>
      </c>
    </row>
    <row r="46" customFormat="false" ht="23.85" hidden="false" customHeight="false" outlineLevel="0" collapsed="false">
      <c r="A46" s="8" t="s">
        <v>353</v>
      </c>
      <c r="B46" s="8" t="s">
        <v>553</v>
      </c>
      <c r="C46" s="8" t="s">
        <v>554</v>
      </c>
      <c r="D46" s="8" t="s">
        <v>496</v>
      </c>
    </row>
    <row r="47" customFormat="false" ht="15" hidden="false" customHeight="false" outlineLevel="0" collapsed="false">
      <c r="A47" s="8" t="s">
        <v>353</v>
      </c>
      <c r="B47" s="8" t="s">
        <v>555</v>
      </c>
      <c r="C47" s="8" t="s">
        <v>556</v>
      </c>
      <c r="D47" s="8" t="s">
        <v>496</v>
      </c>
    </row>
    <row r="48" customFormat="false" ht="23.85" hidden="false" customHeight="false" outlineLevel="0" collapsed="false">
      <c r="A48" s="8" t="s">
        <v>354</v>
      </c>
      <c r="B48" s="8" t="s">
        <v>557</v>
      </c>
      <c r="C48" s="8" t="s">
        <v>558</v>
      </c>
      <c r="D48" s="8" t="s">
        <v>496</v>
      </c>
    </row>
    <row r="49" customFormat="false" ht="23.85" hidden="false" customHeight="false" outlineLevel="0" collapsed="false">
      <c r="A49" s="8" t="s">
        <v>355</v>
      </c>
      <c r="B49" s="8" t="s">
        <v>559</v>
      </c>
      <c r="C49" s="8" t="s">
        <v>560</v>
      </c>
      <c r="D49" s="8" t="s">
        <v>496</v>
      </c>
    </row>
    <row r="50" customFormat="false" ht="23.85" hidden="false" customHeight="false" outlineLevel="0" collapsed="false">
      <c r="A50" s="8" t="s">
        <v>355</v>
      </c>
      <c r="B50" s="8" t="s">
        <v>561</v>
      </c>
      <c r="C50" s="8" t="s">
        <v>562</v>
      </c>
      <c r="D50" s="8" t="s">
        <v>496</v>
      </c>
    </row>
    <row r="51" customFormat="false" ht="23.85" hidden="false" customHeight="false" outlineLevel="0" collapsed="false">
      <c r="A51" s="8" t="s">
        <v>356</v>
      </c>
      <c r="B51" s="8" t="s">
        <v>563</v>
      </c>
      <c r="C51" s="8" t="s">
        <v>564</v>
      </c>
      <c r="D51" s="8" t="s">
        <v>496</v>
      </c>
    </row>
    <row r="52" customFormat="false" ht="23.85" hidden="false" customHeight="false" outlineLevel="0" collapsed="false">
      <c r="A52" s="8" t="s">
        <v>356</v>
      </c>
      <c r="B52" s="8" t="s">
        <v>565</v>
      </c>
      <c r="C52" s="8" t="s">
        <v>566</v>
      </c>
      <c r="D52" s="8" t="s">
        <v>496</v>
      </c>
    </row>
    <row r="53" customFormat="false" ht="23.85" hidden="false" customHeight="false" outlineLevel="0" collapsed="false">
      <c r="A53" s="8" t="s">
        <v>357</v>
      </c>
      <c r="B53" s="8" t="s">
        <v>567</v>
      </c>
      <c r="C53" s="8" t="s">
        <v>568</v>
      </c>
      <c r="D53" s="8" t="s">
        <v>496</v>
      </c>
    </row>
    <row r="54" customFormat="false" ht="15" hidden="false" customHeight="false" outlineLevel="0" collapsed="false">
      <c r="A54" s="8" t="s">
        <v>366</v>
      </c>
      <c r="B54" s="8" t="s">
        <v>569</v>
      </c>
      <c r="C54" s="8" t="s">
        <v>570</v>
      </c>
      <c r="D54" s="8" t="s">
        <v>496</v>
      </c>
    </row>
    <row r="55" customFormat="false" ht="15" hidden="false" customHeight="false" outlineLevel="0" collapsed="false">
      <c r="A55" s="8" t="s">
        <v>366</v>
      </c>
      <c r="B55" s="8" t="s">
        <v>571</v>
      </c>
      <c r="C55" s="8" t="s">
        <v>572</v>
      </c>
      <c r="D55" s="8" t="s">
        <v>496</v>
      </c>
    </row>
    <row r="56" customFormat="false" ht="15" hidden="false" customHeight="false" outlineLevel="0" collapsed="false">
      <c r="A56" s="8" t="s">
        <v>366</v>
      </c>
      <c r="B56" s="8" t="s">
        <v>573</v>
      </c>
      <c r="C56" s="8" t="s">
        <v>574</v>
      </c>
      <c r="D56" s="8" t="s">
        <v>496</v>
      </c>
    </row>
    <row r="57" customFormat="false" ht="23.85" hidden="false" customHeight="false" outlineLevel="0" collapsed="false">
      <c r="A57" s="8" t="s">
        <v>367</v>
      </c>
      <c r="B57" s="8" t="s">
        <v>575</v>
      </c>
      <c r="C57" s="8" t="s">
        <v>576</v>
      </c>
      <c r="D57" s="8" t="s">
        <v>577</v>
      </c>
    </row>
    <row r="58" customFormat="false" ht="15" hidden="false" customHeight="false" outlineLevel="0" collapsed="false">
      <c r="A58" s="8" t="s">
        <v>367</v>
      </c>
      <c r="B58" s="8" t="s">
        <v>578</v>
      </c>
      <c r="C58" s="8" t="s">
        <v>579</v>
      </c>
      <c r="D58" s="8" t="s">
        <v>496</v>
      </c>
    </row>
    <row r="59" customFormat="false" ht="23.85" hidden="false" customHeight="false" outlineLevel="0" collapsed="false">
      <c r="A59" s="8" t="s">
        <v>368</v>
      </c>
      <c r="B59" s="8" t="s">
        <v>580</v>
      </c>
      <c r="C59" s="8" t="s">
        <v>581</v>
      </c>
      <c r="D59" s="8" t="s">
        <v>582</v>
      </c>
    </row>
    <row r="60" customFormat="false" ht="15" hidden="false" customHeight="false" outlineLevel="0" collapsed="false">
      <c r="A60" s="8" t="s">
        <v>368</v>
      </c>
      <c r="B60" s="8" t="s">
        <v>583</v>
      </c>
      <c r="C60" s="8" t="s">
        <v>584</v>
      </c>
      <c r="D60" s="8" t="s">
        <v>496</v>
      </c>
    </row>
    <row r="61" customFormat="false" ht="15" hidden="false" customHeight="false" outlineLevel="0" collapsed="false">
      <c r="A61" s="8" t="s">
        <v>368</v>
      </c>
      <c r="B61" s="8" t="s">
        <v>585</v>
      </c>
      <c r="C61" s="8" t="s">
        <v>586</v>
      </c>
      <c r="D61" s="8" t="s">
        <v>496</v>
      </c>
    </row>
    <row r="62" customFormat="false" ht="23.85" hidden="false" customHeight="false" outlineLevel="0" collapsed="false">
      <c r="A62" s="8" t="s">
        <v>369</v>
      </c>
      <c r="B62" s="8" t="s">
        <v>587</v>
      </c>
      <c r="C62" s="8" t="s">
        <v>588</v>
      </c>
      <c r="D62" s="8" t="s">
        <v>496</v>
      </c>
    </row>
    <row r="63" customFormat="false" ht="23.85" hidden="false" customHeight="false" outlineLevel="0" collapsed="false">
      <c r="A63" s="8" t="s">
        <v>370</v>
      </c>
      <c r="B63" s="8" t="s">
        <v>589</v>
      </c>
      <c r="C63" s="8" t="s">
        <v>590</v>
      </c>
      <c r="D63" s="8" t="s">
        <v>496</v>
      </c>
    </row>
    <row r="64" customFormat="false" ht="15" hidden="false" customHeight="false" outlineLevel="0" collapsed="false">
      <c r="A64" s="8" t="s">
        <v>370</v>
      </c>
      <c r="B64" s="8" t="s">
        <v>591</v>
      </c>
      <c r="C64" s="8" t="s">
        <v>592</v>
      </c>
      <c r="D64" s="8" t="s">
        <v>593</v>
      </c>
    </row>
    <row r="65" customFormat="false" ht="15" hidden="false" customHeight="false" outlineLevel="0" collapsed="false">
      <c r="A65" s="8" t="s">
        <v>370</v>
      </c>
      <c r="B65" s="8" t="s">
        <v>594</v>
      </c>
      <c r="C65" s="8" t="s">
        <v>595</v>
      </c>
      <c r="D65" s="8" t="s">
        <v>496</v>
      </c>
    </row>
    <row r="66" customFormat="false" ht="15" hidden="false" customHeight="false" outlineLevel="0" collapsed="false">
      <c r="A66" s="8" t="s">
        <v>370</v>
      </c>
      <c r="B66" s="8" t="s">
        <v>596</v>
      </c>
      <c r="C66" s="8" t="s">
        <v>597</v>
      </c>
      <c r="D66" s="8" t="s">
        <v>496</v>
      </c>
    </row>
    <row r="67" customFormat="false" ht="23.85" hidden="false" customHeight="false" outlineLevel="0" collapsed="false">
      <c r="A67" s="8" t="s">
        <v>370</v>
      </c>
      <c r="B67" s="8" t="s">
        <v>598</v>
      </c>
      <c r="C67" s="8" t="s">
        <v>599</v>
      </c>
      <c r="D67" s="8" t="s">
        <v>496</v>
      </c>
    </row>
    <row r="68" customFormat="false" ht="23.85" hidden="false" customHeight="false" outlineLevel="0" collapsed="false">
      <c r="A68" s="8" t="s">
        <v>370</v>
      </c>
      <c r="B68" s="8" t="s">
        <v>600</v>
      </c>
      <c r="C68" s="8" t="s">
        <v>601</v>
      </c>
      <c r="D68" s="8" t="s">
        <v>496</v>
      </c>
    </row>
    <row r="69" customFormat="false" ht="23.85" hidden="false" customHeight="false" outlineLevel="0" collapsed="false">
      <c r="A69" s="8" t="s">
        <v>371</v>
      </c>
      <c r="B69" s="8" t="s">
        <v>602</v>
      </c>
      <c r="C69" s="8" t="s">
        <v>603</v>
      </c>
      <c r="D69" s="8" t="s">
        <v>41</v>
      </c>
    </row>
    <row r="70" customFormat="false" ht="23.85" hidden="false" customHeight="false" outlineLevel="0" collapsed="false">
      <c r="A70" s="8" t="s">
        <v>372</v>
      </c>
      <c r="B70" s="8" t="s">
        <v>604</v>
      </c>
      <c r="C70" s="8" t="s">
        <v>605</v>
      </c>
      <c r="D70" s="8" t="s">
        <v>496</v>
      </c>
    </row>
    <row r="71" customFormat="false" ht="15" hidden="false" customHeight="false" outlineLevel="0" collapsed="false">
      <c r="A71" s="8" t="s">
        <v>372</v>
      </c>
      <c r="B71" s="8" t="s">
        <v>606</v>
      </c>
      <c r="C71" s="8" t="s">
        <v>607</v>
      </c>
      <c r="D71" s="8" t="s">
        <v>608</v>
      </c>
    </row>
    <row r="72" customFormat="false" ht="23.85" hidden="false" customHeight="false" outlineLevel="0" collapsed="false">
      <c r="A72" s="8" t="s">
        <v>372</v>
      </c>
      <c r="B72" s="8" t="s">
        <v>609</v>
      </c>
      <c r="C72" s="8" t="s">
        <v>610</v>
      </c>
      <c r="D72" s="8" t="s">
        <v>496</v>
      </c>
    </row>
    <row r="73" customFormat="false" ht="23.85" hidden="false" customHeight="false" outlineLevel="0" collapsed="false">
      <c r="A73" s="8" t="s">
        <v>372</v>
      </c>
      <c r="B73" s="8" t="s">
        <v>611</v>
      </c>
      <c r="C73" s="8" t="s">
        <v>612</v>
      </c>
      <c r="D73" s="8" t="s">
        <v>613</v>
      </c>
    </row>
    <row r="74" customFormat="false" ht="23.85" hidden="false" customHeight="false" outlineLevel="0" collapsed="false">
      <c r="A74" s="8" t="s">
        <v>381</v>
      </c>
      <c r="B74" s="8" t="s">
        <v>614</v>
      </c>
      <c r="C74" s="8" t="s">
        <v>615</v>
      </c>
      <c r="D74" s="8" t="s">
        <v>577</v>
      </c>
    </row>
    <row r="75" customFormat="false" ht="15" hidden="false" customHeight="false" outlineLevel="0" collapsed="false">
      <c r="A75" s="8" t="s">
        <v>381</v>
      </c>
      <c r="B75" s="8" t="s">
        <v>616</v>
      </c>
      <c r="C75" s="8" t="s">
        <v>617</v>
      </c>
      <c r="D75" s="8" t="s">
        <v>577</v>
      </c>
    </row>
    <row r="76" customFormat="false" ht="23.85" hidden="false" customHeight="false" outlineLevel="0" collapsed="false">
      <c r="A76" s="8" t="s">
        <v>381</v>
      </c>
      <c r="B76" s="8" t="s">
        <v>618</v>
      </c>
      <c r="C76" s="8" t="s">
        <v>619</v>
      </c>
      <c r="D76" s="8" t="s">
        <v>496</v>
      </c>
    </row>
    <row r="77" customFormat="false" ht="23.85" hidden="false" customHeight="false" outlineLevel="0" collapsed="false">
      <c r="A77" s="8" t="s">
        <v>382</v>
      </c>
      <c r="B77" s="8" t="s">
        <v>620</v>
      </c>
      <c r="C77" s="8" t="s">
        <v>621</v>
      </c>
      <c r="D77" s="8" t="s">
        <v>496</v>
      </c>
    </row>
    <row r="78" customFormat="false" ht="15" hidden="false" customHeight="false" outlineLevel="0" collapsed="false">
      <c r="A78" s="8" t="s">
        <v>382</v>
      </c>
      <c r="B78" s="8" t="s">
        <v>622</v>
      </c>
      <c r="C78" s="8" t="s">
        <v>623</v>
      </c>
      <c r="D78" s="8" t="s">
        <v>496</v>
      </c>
    </row>
    <row r="79" customFormat="false" ht="15" hidden="false" customHeight="false" outlineLevel="0" collapsed="false">
      <c r="A79" s="8" t="s">
        <v>382</v>
      </c>
      <c r="B79" s="8" t="s">
        <v>624</v>
      </c>
      <c r="C79" s="8" t="s">
        <v>474</v>
      </c>
      <c r="D79" s="8" t="s">
        <v>496</v>
      </c>
    </row>
    <row r="80" customFormat="false" ht="35.05" hidden="false" customHeight="false" outlineLevel="0" collapsed="false">
      <c r="A80" s="8" t="s">
        <v>383</v>
      </c>
      <c r="B80" s="8" t="s">
        <v>625</v>
      </c>
      <c r="C80" s="8" t="s">
        <v>626</v>
      </c>
      <c r="D80" s="8" t="s">
        <v>496</v>
      </c>
    </row>
    <row r="81" customFormat="false" ht="23.85" hidden="false" customHeight="false" outlineLevel="0" collapsed="false">
      <c r="A81" s="8" t="s">
        <v>383</v>
      </c>
      <c r="B81" s="8" t="s">
        <v>627</v>
      </c>
      <c r="C81" s="8" t="s">
        <v>628</v>
      </c>
      <c r="D81" s="8" t="s">
        <v>496</v>
      </c>
    </row>
    <row r="82" customFormat="false" ht="23.85" hidden="false" customHeight="false" outlineLevel="0" collapsed="false">
      <c r="A82" s="8" t="s">
        <v>383</v>
      </c>
      <c r="B82" s="8" t="s">
        <v>629</v>
      </c>
      <c r="C82" s="8" t="s">
        <v>630</v>
      </c>
      <c r="D82" s="8" t="s">
        <v>496</v>
      </c>
    </row>
    <row r="83" customFormat="false" ht="15" hidden="false" customHeight="false" outlineLevel="0" collapsed="false">
      <c r="A83" s="8" t="s">
        <v>383</v>
      </c>
      <c r="B83" s="8" t="s">
        <v>631</v>
      </c>
      <c r="C83" s="8" t="s">
        <v>632</v>
      </c>
      <c r="D83" s="8" t="s">
        <v>196</v>
      </c>
    </row>
    <row r="84" customFormat="false" ht="23.85" hidden="false" customHeight="false" outlineLevel="0" collapsed="false">
      <c r="A84" s="8" t="s">
        <v>383</v>
      </c>
      <c r="B84" s="8" t="s">
        <v>633</v>
      </c>
      <c r="C84" s="8" t="s">
        <v>482</v>
      </c>
      <c r="D84" s="8" t="s">
        <v>496</v>
      </c>
    </row>
    <row r="85" customFormat="false" ht="23.85" hidden="false" customHeight="false" outlineLevel="0" collapsed="false">
      <c r="A85" s="8" t="s">
        <v>384</v>
      </c>
      <c r="B85" s="8" t="s">
        <v>634</v>
      </c>
      <c r="C85" s="8" t="s">
        <v>635</v>
      </c>
      <c r="D85" s="8" t="s">
        <v>496</v>
      </c>
    </row>
    <row r="86" customFormat="false" ht="23.85" hidden="false" customHeight="false" outlineLevel="0" collapsed="false">
      <c r="A86" s="8" t="s">
        <v>384</v>
      </c>
      <c r="B86" s="8" t="s">
        <v>636</v>
      </c>
      <c r="C86" s="8" t="s">
        <v>635</v>
      </c>
      <c r="D86" s="8" t="s">
        <v>496</v>
      </c>
    </row>
    <row r="87" customFormat="false" ht="23.85" hidden="false" customHeight="false" outlineLevel="0" collapsed="false">
      <c r="A87" s="8" t="s">
        <v>384</v>
      </c>
      <c r="B87" s="8" t="s">
        <v>637</v>
      </c>
      <c r="C87" s="8" t="s">
        <v>638</v>
      </c>
      <c r="D87" s="8" t="s">
        <v>496</v>
      </c>
    </row>
    <row r="88" customFormat="false" ht="23.85" hidden="false" customHeight="false" outlineLevel="0" collapsed="false">
      <c r="A88" s="8" t="s">
        <v>384</v>
      </c>
      <c r="B88" s="8" t="s">
        <v>639</v>
      </c>
      <c r="C88" s="8" t="s">
        <v>635</v>
      </c>
      <c r="D88" s="8" t="s">
        <v>496</v>
      </c>
    </row>
    <row r="89" customFormat="false" ht="15" hidden="false" customHeight="false" outlineLevel="0" collapsed="false">
      <c r="A89" s="8" t="s">
        <v>384</v>
      </c>
      <c r="B89" s="8" t="s">
        <v>640</v>
      </c>
      <c r="C89" s="8" t="s">
        <v>641</v>
      </c>
      <c r="D89" s="8" t="s">
        <v>642</v>
      </c>
    </row>
    <row r="90" customFormat="false" ht="23.85" hidden="false" customHeight="false" outlineLevel="0" collapsed="false">
      <c r="A90" s="8" t="s">
        <v>385</v>
      </c>
      <c r="B90" s="8" t="s">
        <v>643</v>
      </c>
      <c r="C90" s="8" t="s">
        <v>644</v>
      </c>
      <c r="D90" s="8" t="s">
        <v>496</v>
      </c>
    </row>
    <row r="91" customFormat="false" ht="23.85" hidden="false" customHeight="false" outlineLevel="0" collapsed="false">
      <c r="A91" s="8" t="s">
        <v>385</v>
      </c>
      <c r="B91" s="8" t="s">
        <v>645</v>
      </c>
      <c r="C91" s="8" t="s">
        <v>646</v>
      </c>
      <c r="D91" s="8" t="s">
        <v>496</v>
      </c>
    </row>
    <row r="92" customFormat="false" ht="23.85" hidden="false" customHeight="false" outlineLevel="0" collapsed="false">
      <c r="A92" s="8" t="s">
        <v>386</v>
      </c>
      <c r="B92" s="8" t="s">
        <v>647</v>
      </c>
      <c r="C92" s="8" t="s">
        <v>648</v>
      </c>
      <c r="D92" s="8" t="s">
        <v>642</v>
      </c>
    </row>
    <row r="93" customFormat="false" ht="23.85" hidden="false" customHeight="false" outlineLevel="0" collapsed="false">
      <c r="A93" s="8" t="s">
        <v>386</v>
      </c>
      <c r="B93" s="8" t="s">
        <v>649</v>
      </c>
      <c r="C93" s="8" t="s">
        <v>650</v>
      </c>
      <c r="D93" s="8" t="s">
        <v>651</v>
      </c>
    </row>
    <row r="94" customFormat="false" ht="23.85" hidden="false" customHeight="false" outlineLevel="0" collapsed="false">
      <c r="A94" s="8" t="s">
        <v>386</v>
      </c>
      <c r="B94" s="8" t="s">
        <v>652</v>
      </c>
      <c r="C94" s="8" t="s">
        <v>653</v>
      </c>
      <c r="D94" s="8" t="s">
        <v>33</v>
      </c>
    </row>
    <row r="95" customFormat="false" ht="23.85" hidden="false" customHeight="false" outlineLevel="0" collapsed="false">
      <c r="A95" s="8" t="s">
        <v>400</v>
      </c>
      <c r="B95" s="8" t="s">
        <v>654</v>
      </c>
      <c r="C95" s="8" t="s">
        <v>468</v>
      </c>
      <c r="D95" s="8" t="s">
        <v>496</v>
      </c>
    </row>
    <row r="96" customFormat="false" ht="23.85" hidden="false" customHeight="false" outlineLevel="0" collapsed="false">
      <c r="A96" s="8" t="s">
        <v>401</v>
      </c>
      <c r="B96" s="8" t="s">
        <v>655</v>
      </c>
      <c r="C96" s="8" t="s">
        <v>656</v>
      </c>
      <c r="D96" s="8" t="s">
        <v>496</v>
      </c>
    </row>
    <row r="97" customFormat="false" ht="23.85" hidden="false" customHeight="false" outlineLevel="0" collapsed="false">
      <c r="A97" s="8" t="s">
        <v>402</v>
      </c>
      <c r="B97" s="8" t="s">
        <v>657</v>
      </c>
      <c r="C97" s="8" t="s">
        <v>658</v>
      </c>
      <c r="D97" s="8" t="s">
        <v>222</v>
      </c>
    </row>
    <row r="98" customFormat="false" ht="15" hidden="false" customHeight="false" outlineLevel="0" collapsed="false">
      <c r="A98" s="8" t="s">
        <v>411</v>
      </c>
      <c r="B98" s="8" t="s">
        <v>659</v>
      </c>
      <c r="C98" s="8" t="s">
        <v>660</v>
      </c>
      <c r="D98" s="8" t="s">
        <v>496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2" min="2" style="0" width="80"/>
    <col collapsed="false" customWidth="true" hidden="false" outlineLevel="0" max="3" min="3" style="0" width="30"/>
    <col collapsed="false" customWidth="true" hidden="false" outlineLevel="0" max="4" min="4" style="0" width="10"/>
    <col collapsed="false" customWidth="true" hidden="false" outlineLevel="0" max="6" min="5" style="0" width="12"/>
    <col collapsed="false" customWidth="true" hidden="false" outlineLevel="0" max="7" min="7" style="0" width="10"/>
    <col collapsed="false" customWidth="true" hidden="false" outlineLevel="0" max="8" min="8" style="0" width="13"/>
    <col collapsed="false" customWidth="true" hidden="false" outlineLevel="0" max="9" min="9" style="0" width="40"/>
  </cols>
  <sheetData>
    <row r="1" customFormat="false" ht="16.15" hidden="false" customHeight="false" outlineLevel="0" collapsed="false">
      <c r="A1" s="6" t="s">
        <v>661</v>
      </c>
    </row>
    <row r="3" customFormat="false" ht="26.85" hidden="false" customHeight="false" outlineLevel="0" collapsed="false">
      <c r="A3" s="7" t="s">
        <v>662</v>
      </c>
      <c r="B3" s="7" t="s">
        <v>663</v>
      </c>
      <c r="C3" s="7" t="s">
        <v>22</v>
      </c>
      <c r="D3" s="7" t="s">
        <v>664</v>
      </c>
      <c r="E3" s="7" t="s">
        <v>665</v>
      </c>
      <c r="F3" s="7" t="s">
        <v>666</v>
      </c>
      <c r="G3" s="7" t="s">
        <v>67</v>
      </c>
      <c r="H3" s="7" t="s">
        <v>68</v>
      </c>
      <c r="I3" s="7" t="s">
        <v>69</v>
      </c>
    </row>
    <row r="4" customFormat="false" ht="46.25" hidden="false" customHeight="false" outlineLevel="0" collapsed="false">
      <c r="A4" s="8" t="s">
        <v>45</v>
      </c>
      <c r="B4" s="8" t="s">
        <v>667</v>
      </c>
      <c r="C4" s="8" t="s">
        <v>668</v>
      </c>
      <c r="D4" s="8" t="n">
        <v>40</v>
      </c>
      <c r="E4" s="9" t="n">
        <v>46298</v>
      </c>
      <c r="F4" s="9" t="n">
        <v>46299</v>
      </c>
      <c r="G4" s="8" t="s">
        <v>78</v>
      </c>
      <c r="H4" s="8" t="s">
        <v>32</v>
      </c>
      <c r="I4" s="8" t="s">
        <v>669</v>
      </c>
    </row>
    <row r="5" customFormat="false" ht="46.25" hidden="false" customHeight="false" outlineLevel="0" collapsed="false">
      <c r="A5" s="8" t="s">
        <v>37</v>
      </c>
      <c r="B5" s="8" t="s">
        <v>670</v>
      </c>
      <c r="C5" s="8" t="s">
        <v>671</v>
      </c>
      <c r="D5" s="8" t="n">
        <v>15</v>
      </c>
      <c r="E5" s="9" t="n">
        <v>46298</v>
      </c>
      <c r="F5" s="9" t="n">
        <v>46304</v>
      </c>
      <c r="G5" s="8" t="s">
        <v>672</v>
      </c>
      <c r="H5" s="8" t="s">
        <v>32</v>
      </c>
      <c r="I5" s="8" t="s">
        <v>673</v>
      </c>
    </row>
    <row r="6" customFormat="false" ht="23.85" hidden="false" customHeight="false" outlineLevel="0" collapsed="false">
      <c r="A6" s="8" t="s">
        <v>518</v>
      </c>
      <c r="B6" s="8" t="s">
        <v>674</v>
      </c>
      <c r="C6" s="8" t="s">
        <v>675</v>
      </c>
      <c r="D6" s="8" t="n">
        <v>10</v>
      </c>
      <c r="E6" s="9" t="n">
        <v>46298</v>
      </c>
      <c r="F6" s="9" t="n">
        <v>46300</v>
      </c>
      <c r="G6" s="8" t="s">
        <v>78</v>
      </c>
      <c r="H6" s="8" t="s">
        <v>96</v>
      </c>
      <c r="I6" s="8"/>
    </row>
    <row r="7" customFormat="false" ht="57.45" hidden="false" customHeight="false" outlineLevel="0" collapsed="false">
      <c r="A7" s="8" t="s">
        <v>33</v>
      </c>
      <c r="B7" s="8" t="s">
        <v>676</v>
      </c>
      <c r="C7" s="8" t="s">
        <v>677</v>
      </c>
      <c r="D7" s="8" t="n">
        <v>15</v>
      </c>
      <c r="E7" s="9" t="n">
        <v>46298</v>
      </c>
      <c r="F7" s="9" t="n">
        <v>46324</v>
      </c>
      <c r="G7" s="8" t="s">
        <v>672</v>
      </c>
      <c r="H7" s="8" t="s">
        <v>32</v>
      </c>
      <c r="I7" s="8" t="s">
        <v>678</v>
      </c>
    </row>
    <row r="8" customFormat="false" ht="35.05" hidden="false" customHeight="false" outlineLevel="0" collapsed="false">
      <c r="A8" s="8" t="s">
        <v>50</v>
      </c>
      <c r="B8" s="8" t="s">
        <v>679</v>
      </c>
      <c r="C8" s="8" t="s">
        <v>680</v>
      </c>
      <c r="D8" s="8" t="n">
        <v>20</v>
      </c>
      <c r="E8" s="9" t="n">
        <v>46298</v>
      </c>
      <c r="F8" s="9" t="n">
        <v>46324</v>
      </c>
      <c r="G8" s="8" t="s">
        <v>672</v>
      </c>
      <c r="H8" s="8" t="s">
        <v>96</v>
      </c>
      <c r="I8" s="8"/>
    </row>
    <row r="9" customFormat="false" ht="23.85" hidden="false" customHeight="false" outlineLevel="0" collapsed="false">
      <c r="A9" s="8" t="s">
        <v>535</v>
      </c>
      <c r="B9" s="8" t="s">
        <v>681</v>
      </c>
      <c r="C9" s="8" t="s">
        <v>682</v>
      </c>
      <c r="D9" s="8" t="n">
        <v>30</v>
      </c>
      <c r="E9" s="9" t="n">
        <v>46300</v>
      </c>
      <c r="F9" s="9" t="n">
        <v>46300</v>
      </c>
      <c r="G9" s="8" t="s">
        <v>78</v>
      </c>
      <c r="H9" s="8" t="s">
        <v>96</v>
      </c>
      <c r="I9" s="8"/>
    </row>
    <row r="10" customFormat="false" ht="23.85" hidden="false" customHeight="false" outlineLevel="0" collapsed="false">
      <c r="A10" s="8" t="s">
        <v>525</v>
      </c>
      <c r="B10" s="8" t="s">
        <v>683</v>
      </c>
      <c r="C10" s="8" t="s">
        <v>684</v>
      </c>
      <c r="D10" s="8" t="n">
        <v>20</v>
      </c>
      <c r="E10" s="9" t="n">
        <v>46300</v>
      </c>
      <c r="F10" s="9" t="n">
        <v>46300</v>
      </c>
      <c r="G10" s="8" t="s">
        <v>672</v>
      </c>
      <c r="H10" s="8" t="s">
        <v>96</v>
      </c>
      <c r="I10" s="8"/>
    </row>
    <row r="11" customFormat="false" ht="35.05" hidden="false" customHeight="false" outlineLevel="0" collapsed="false">
      <c r="A11" s="8" t="s">
        <v>41</v>
      </c>
      <c r="B11" s="8" t="s">
        <v>685</v>
      </c>
      <c r="C11" s="8" t="s">
        <v>686</v>
      </c>
      <c r="D11" s="8" t="n">
        <v>60</v>
      </c>
      <c r="E11" s="9" t="n">
        <v>46305</v>
      </c>
      <c r="F11" s="9" t="n">
        <v>46305</v>
      </c>
      <c r="G11" s="8" t="s">
        <v>78</v>
      </c>
      <c r="H11" s="8" t="s">
        <v>32</v>
      </c>
      <c r="I11" s="8" t="s">
        <v>687</v>
      </c>
    </row>
    <row r="12" customFormat="false" ht="23.85" hidden="false" customHeight="false" outlineLevel="0" collapsed="false">
      <c r="A12" s="8" t="s">
        <v>582</v>
      </c>
      <c r="B12" s="8" t="s">
        <v>688</v>
      </c>
      <c r="C12" s="8" t="s">
        <v>689</v>
      </c>
      <c r="D12" s="8" t="n">
        <v>20</v>
      </c>
      <c r="E12" s="9" t="n">
        <v>46305</v>
      </c>
      <c r="F12" s="9" t="n">
        <v>46309</v>
      </c>
      <c r="G12" s="8" t="s">
        <v>78</v>
      </c>
      <c r="H12" s="8" t="s">
        <v>96</v>
      </c>
      <c r="I12" s="8"/>
    </row>
    <row r="13" customFormat="false" ht="23.85" hidden="false" customHeight="false" outlineLevel="0" collapsed="false">
      <c r="A13" s="8" t="s">
        <v>593</v>
      </c>
      <c r="B13" s="8" t="s">
        <v>690</v>
      </c>
      <c r="C13" s="8" t="s">
        <v>691</v>
      </c>
      <c r="D13" s="8" t="n">
        <v>45</v>
      </c>
      <c r="E13" s="9" t="n">
        <v>46305</v>
      </c>
      <c r="F13" s="9" t="n">
        <v>46311</v>
      </c>
      <c r="G13" s="8" t="s">
        <v>672</v>
      </c>
      <c r="H13" s="8" t="s">
        <v>96</v>
      </c>
      <c r="I13" s="8"/>
    </row>
    <row r="14" customFormat="false" ht="23.85" hidden="false" customHeight="false" outlineLevel="0" collapsed="false">
      <c r="A14" s="8" t="s">
        <v>613</v>
      </c>
      <c r="B14" s="8" t="s">
        <v>692</v>
      </c>
      <c r="C14" s="8" t="s">
        <v>693</v>
      </c>
      <c r="D14" s="8" t="n">
        <v>90</v>
      </c>
      <c r="E14" s="9" t="n">
        <v>46313</v>
      </c>
      <c r="F14" s="9" t="n">
        <v>46313</v>
      </c>
      <c r="G14" s="8" t="s">
        <v>672</v>
      </c>
      <c r="H14" s="8" t="s">
        <v>96</v>
      </c>
      <c r="I14" s="8"/>
    </row>
    <row r="15" customFormat="false" ht="35.05" hidden="false" customHeight="false" outlineLevel="0" collapsed="false">
      <c r="A15" s="8" t="s">
        <v>577</v>
      </c>
      <c r="B15" s="8" t="s">
        <v>694</v>
      </c>
      <c r="C15" s="8" t="s">
        <v>695</v>
      </c>
      <c r="D15" s="8" t="n">
        <v>60</v>
      </c>
      <c r="E15" s="9" t="n">
        <v>46314</v>
      </c>
      <c r="F15" s="9" t="n">
        <v>46315</v>
      </c>
      <c r="G15" s="8" t="s">
        <v>78</v>
      </c>
      <c r="H15" s="8" t="s">
        <v>96</v>
      </c>
      <c r="I15" s="8"/>
    </row>
    <row r="16" customFormat="false" ht="23.85" hidden="false" customHeight="false" outlineLevel="0" collapsed="false">
      <c r="A16" s="8" t="s">
        <v>196</v>
      </c>
      <c r="B16" s="8" t="s">
        <v>696</v>
      </c>
      <c r="C16" s="8" t="s">
        <v>697</v>
      </c>
      <c r="D16" s="8" t="n">
        <v>10</v>
      </c>
      <c r="E16" s="9" t="n">
        <v>46319</v>
      </c>
      <c r="F16" s="9" t="n">
        <v>46321</v>
      </c>
      <c r="G16" s="8" t="s">
        <v>672</v>
      </c>
      <c r="H16" s="8" t="s">
        <v>96</v>
      </c>
      <c r="I16" s="8"/>
    </row>
    <row r="17" customFormat="false" ht="23.85" hidden="false" customHeight="false" outlineLevel="0" collapsed="false">
      <c r="A17" s="8" t="s">
        <v>642</v>
      </c>
      <c r="B17" s="8" t="s">
        <v>698</v>
      </c>
      <c r="C17" s="8" t="s">
        <v>699</v>
      </c>
      <c r="D17" s="8" t="n">
        <v>30</v>
      </c>
      <c r="E17" s="9" t="n">
        <v>46320</v>
      </c>
      <c r="F17" s="9" t="n">
        <v>46324</v>
      </c>
      <c r="G17" s="8" t="s">
        <v>78</v>
      </c>
      <c r="H17" s="8" t="s">
        <v>96</v>
      </c>
      <c r="I17" s="8"/>
    </row>
    <row r="18" customFormat="false" ht="23.85" hidden="false" customHeight="false" outlineLevel="0" collapsed="false">
      <c r="A18" s="8" t="s">
        <v>651</v>
      </c>
      <c r="B18" s="8" t="s">
        <v>700</v>
      </c>
      <c r="C18" s="8" t="s">
        <v>701</v>
      </c>
      <c r="D18" s="8" t="n">
        <v>10</v>
      </c>
      <c r="E18" s="9" t="n">
        <v>46320</v>
      </c>
      <c r="F18" s="9" t="n">
        <v>46324</v>
      </c>
      <c r="G18" s="8" t="s">
        <v>78</v>
      </c>
      <c r="H18" s="8" t="s">
        <v>96</v>
      </c>
      <c r="I18" s="8"/>
    </row>
    <row r="19" customFormat="false" ht="23.85" hidden="false" customHeight="false" outlineLevel="0" collapsed="false">
      <c r="A19" s="8" t="s">
        <v>222</v>
      </c>
      <c r="B19" s="8" t="s">
        <v>702</v>
      </c>
      <c r="C19" s="8" t="s">
        <v>684</v>
      </c>
      <c r="D19" s="8" t="n">
        <v>15</v>
      </c>
      <c r="E19" s="9" t="n">
        <v>46327</v>
      </c>
      <c r="F19" s="9" t="n">
        <v>46327</v>
      </c>
      <c r="G19" s="8" t="s">
        <v>78</v>
      </c>
      <c r="H19" s="8" t="s">
        <v>96</v>
      </c>
      <c r="I19" s="8"/>
    </row>
    <row r="20" customFormat="false" ht="113.4" hidden="false" customHeight="false" outlineLevel="0" collapsed="false">
      <c r="A20" s="8" t="s">
        <v>703</v>
      </c>
      <c r="B20" s="8" t="s">
        <v>704</v>
      </c>
      <c r="C20" s="8" t="s">
        <v>705</v>
      </c>
      <c r="D20" s="8" t="n">
        <v>60</v>
      </c>
      <c r="E20" s="9" t="n">
        <v>46298</v>
      </c>
      <c r="F20" s="9" t="n">
        <v>46300</v>
      </c>
      <c r="G20" s="8" t="s">
        <v>78</v>
      </c>
      <c r="H20" s="8" t="s">
        <v>32</v>
      </c>
      <c r="I20" s="8" t="s">
        <v>706</v>
      </c>
    </row>
    <row r="21" customFormat="false" ht="15" hidden="false" customHeight="false" outlineLevel="0" collapsed="false">
      <c r="C21" s="0" t="s">
        <v>707</v>
      </c>
      <c r="D21" s="0" t="n">
        <f aca="false">SUM(D4:D20)</f>
        <v>550</v>
      </c>
    </row>
    <row r="22" customFormat="false" ht="15" hidden="false" customHeight="false" outlineLevel="0" collapsed="false">
      <c r="C22" s="0" t="s">
        <v>708</v>
      </c>
      <c r="D22" s="0" t="n">
        <f aca="false">SUMIF(H4:H20,"&lt;&gt;Done",D4:D20)</f>
        <v>360</v>
      </c>
    </row>
  </sheetData>
  <dataValidations count="1">
    <dataValidation allowBlank="true" errorStyle="stop" operator="between" showDropDown="false" showErrorMessage="false" showInputMessage="false" sqref="H4:H19" type="list">
      <formula1>"Not started,In progress,Done,Blocked"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2" min="2" style="0" width="80"/>
    <col collapsed="false" customWidth="true" hidden="false" outlineLevel="0" max="3" min="3" style="0" width="55"/>
    <col collapsed="false" customWidth="true" hidden="false" outlineLevel="0" max="4" min="4" style="0" width="12"/>
    <col collapsed="false" customWidth="true" hidden="false" outlineLevel="0" max="5" min="5" style="0" width="30"/>
    <col collapsed="false" customWidth="true" hidden="false" outlineLevel="0" max="6" min="6" style="0" width="10"/>
  </cols>
  <sheetData>
    <row r="1" customFormat="false" ht="16.15" hidden="false" customHeight="false" outlineLevel="0" collapsed="false">
      <c r="A1" s="6" t="s">
        <v>709</v>
      </c>
    </row>
    <row r="3" customFormat="false" ht="15" hidden="false" customHeight="false" outlineLevel="0" collapsed="false">
      <c r="A3" s="7" t="s">
        <v>662</v>
      </c>
      <c r="B3" s="7" t="s">
        <v>710</v>
      </c>
      <c r="C3" s="7" t="s">
        <v>711</v>
      </c>
      <c r="D3" s="7" t="s">
        <v>712</v>
      </c>
      <c r="E3" s="7" t="s">
        <v>713</v>
      </c>
      <c r="F3" s="7" t="s">
        <v>68</v>
      </c>
    </row>
    <row r="4" customFormat="false" ht="79.85" hidden="false" customHeight="false" outlineLevel="0" collapsed="false">
      <c r="A4" s="8" t="s">
        <v>714</v>
      </c>
      <c r="B4" s="8" t="s">
        <v>715</v>
      </c>
      <c r="C4" s="8" t="s">
        <v>716</v>
      </c>
      <c r="D4" s="9" t="n">
        <v>46295</v>
      </c>
      <c r="E4" s="8" t="s">
        <v>717</v>
      </c>
      <c r="F4" s="8" t="s">
        <v>718</v>
      </c>
    </row>
    <row r="5" customFormat="false" ht="23.85" hidden="false" customHeight="false" outlineLevel="0" collapsed="false">
      <c r="A5" s="8" t="s">
        <v>719</v>
      </c>
      <c r="B5" s="8" t="s">
        <v>720</v>
      </c>
      <c r="C5" s="8" t="s">
        <v>721</v>
      </c>
      <c r="D5" s="9" t="n">
        <v>46298</v>
      </c>
      <c r="E5" s="8" t="s">
        <v>722</v>
      </c>
      <c r="F5" s="8" t="s">
        <v>718</v>
      </c>
    </row>
    <row r="6" customFormat="false" ht="23.85" hidden="false" customHeight="false" outlineLevel="0" collapsed="false">
      <c r="A6" s="8" t="s">
        <v>723</v>
      </c>
      <c r="B6" s="8" t="s">
        <v>724</v>
      </c>
      <c r="C6" s="8" t="s">
        <v>725</v>
      </c>
      <c r="D6" s="9" t="n">
        <v>46301</v>
      </c>
      <c r="E6" s="8" t="s">
        <v>726</v>
      </c>
      <c r="F6" s="8" t="s">
        <v>718</v>
      </c>
    </row>
    <row r="7" customFormat="false" ht="46.25" hidden="false" customHeight="false" outlineLevel="0" collapsed="false">
      <c r="A7" s="8" t="s">
        <v>608</v>
      </c>
      <c r="B7" s="8" t="s">
        <v>727</v>
      </c>
      <c r="C7" s="8" t="s">
        <v>728</v>
      </c>
      <c r="D7" s="9" t="n">
        <v>46307</v>
      </c>
      <c r="E7" s="8" t="s">
        <v>729</v>
      </c>
      <c r="F7" s="8" t="s">
        <v>718</v>
      </c>
    </row>
    <row r="8" customFormat="false" ht="46.25" hidden="false" customHeight="false" outlineLevel="0" collapsed="false">
      <c r="A8" s="8" t="s">
        <v>730</v>
      </c>
      <c r="B8" s="8" t="s">
        <v>731</v>
      </c>
      <c r="C8" s="8" t="s">
        <v>732</v>
      </c>
      <c r="D8" s="9" t="n">
        <v>46311</v>
      </c>
      <c r="E8" s="8" t="s">
        <v>733</v>
      </c>
      <c r="F8" s="8" t="s">
        <v>718</v>
      </c>
    </row>
    <row r="9" customFormat="false" ht="91" hidden="false" customHeight="false" outlineLevel="0" collapsed="false">
      <c r="A9" s="8" t="s">
        <v>734</v>
      </c>
      <c r="B9" s="8" t="s">
        <v>735</v>
      </c>
      <c r="C9" s="8" t="s">
        <v>736</v>
      </c>
      <c r="D9" s="9" t="n">
        <v>46311</v>
      </c>
      <c r="E9" s="8" t="s">
        <v>737</v>
      </c>
      <c r="F9" s="8" t="s">
        <v>718</v>
      </c>
    </row>
    <row r="10" customFormat="false" ht="46.25" hidden="false" customHeight="false" outlineLevel="0" collapsed="false">
      <c r="A10" s="8" t="s">
        <v>738</v>
      </c>
      <c r="B10" s="8" t="s">
        <v>739</v>
      </c>
      <c r="C10" s="8" t="s">
        <v>740</v>
      </c>
      <c r="D10" s="9" t="n">
        <v>46315</v>
      </c>
      <c r="E10" s="8" t="s">
        <v>741</v>
      </c>
      <c r="F10" s="8" t="s">
        <v>718</v>
      </c>
    </row>
    <row r="11" customFormat="false" ht="46.25" hidden="false" customHeight="false" outlineLevel="0" collapsed="false">
      <c r="A11" s="8" t="s">
        <v>742</v>
      </c>
      <c r="B11" s="8" t="s">
        <v>743</v>
      </c>
      <c r="C11" s="8" t="s">
        <v>744</v>
      </c>
      <c r="D11" s="9" t="n">
        <v>46315</v>
      </c>
      <c r="E11" s="8" t="s">
        <v>745</v>
      </c>
      <c r="F11" s="8" t="s">
        <v>718</v>
      </c>
    </row>
    <row r="12" customFormat="false" ht="35.05" hidden="false" customHeight="false" outlineLevel="0" collapsed="false">
      <c r="A12" s="8" t="s">
        <v>746</v>
      </c>
      <c r="B12" s="8" t="s">
        <v>747</v>
      </c>
      <c r="C12" s="8" t="s">
        <v>748</v>
      </c>
      <c r="D12" s="9" t="n">
        <v>46316</v>
      </c>
      <c r="E12" s="8" t="s">
        <v>749</v>
      </c>
      <c r="F12" s="8" t="s">
        <v>718</v>
      </c>
    </row>
    <row r="13" customFormat="false" ht="46.25" hidden="false" customHeight="false" outlineLevel="0" collapsed="false">
      <c r="A13" s="8" t="s">
        <v>750</v>
      </c>
      <c r="B13" s="8" t="s">
        <v>751</v>
      </c>
      <c r="C13" s="8" t="s">
        <v>752</v>
      </c>
      <c r="D13" s="9" t="n">
        <v>46320</v>
      </c>
      <c r="E13" s="8" t="s">
        <v>753</v>
      </c>
      <c r="F13" s="8" t="s">
        <v>718</v>
      </c>
    </row>
  </sheetData>
  <dataValidations count="1">
    <dataValidation allowBlank="true" errorStyle="stop" operator="between" showDropDown="false" showErrorMessage="false" showInputMessage="false" sqref="F4:F13" type="list">
      <formula1>"Open,Decided"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cp:revision>0</cp:revision>
  <dc:subject/>
  <dc:title/>
</cp:coreProperties>
</file>
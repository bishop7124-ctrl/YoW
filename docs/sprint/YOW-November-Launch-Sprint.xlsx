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ddd\ d\ mmm"/>
  </numFmts>
  <fonts count="17">
    <font>
      <name val="Arial"/>
      <family val="2"/>
      <sz val="10"/>
    </font>
    <font>
      <name val="Arial"/>
      <family val="0"/>
      <sz val="10"/>
    </font>
    <font>
      <name val="Arial"/>
      <family val="0"/>
      <sz val="10"/>
    </font>
    <font>
      <name val="Arial"/>
      <family val="0"/>
      <sz val="10"/>
    </font>
    <font>
      <name val="Calibri"/>
      <charset val="1"/>
      <family val="0"/>
      <sz val="11"/>
    </font>
    <font>
      <name val="Arial"/>
      <charset val="1"/>
      <family val="0"/>
      <b val="1"/>
      <color rgb="FF17324D"/>
      <sz val="16"/>
    </font>
    <font>
      <name val="Arial"/>
      <charset val="1"/>
      <family val="0"/>
      <i val="1"/>
      <color rgb="FF566573"/>
      <sz val="10"/>
    </font>
    <font>
      <name val="Arial"/>
      <charset val="1"/>
      <family val="0"/>
      <b val="1"/>
      <color rgb="FFFFFFFF"/>
      <sz val="11"/>
    </font>
    <font>
      <name val="Arial"/>
      <charset val="1"/>
      <family val="0"/>
      <color rgb="FF243442"/>
      <sz val="10"/>
    </font>
    <font>
      <name val="Cambria"/>
      <charset val="1"/>
      <family val="0"/>
      <b val="1"/>
      <sz val="11"/>
    </font>
    <font>
      <name val="Cambria"/>
      <charset val="1"/>
      <family val="0"/>
      <b val="1"/>
      <sz val="13"/>
    </font>
    <font>
      <name val="Cambria"/>
      <charset val="1"/>
      <family val="0"/>
      <b val="1"/>
      <color rgb="FFFFFFFF"/>
      <sz val="11"/>
    </font>
    <font>
      <name val="Arial"/>
      <charset val="1"/>
      <family val="0"/>
      <b val="1"/>
      <color rgb="FF17324D"/>
      <sz val="10"/>
    </font>
    <font>
      <name val="Arial"/>
      <charset val="1"/>
      <family val="0"/>
      <b val="1"/>
      <color rgb="FF17324D"/>
      <sz val="11"/>
    </font>
    <font>
      <name val="Arial"/>
      <charset val="1"/>
      <family val="0"/>
      <color rgb="FF5A4625"/>
      <sz val="10"/>
    </font>
    <font>
      <name val="Arial"/>
      <charset val="1"/>
      <family val="0"/>
      <b val="1"/>
      <color rgb="FFFFFFFF"/>
      <sz val="10"/>
    </font>
    <font>
      <name val="Arial"/>
      <charset val="1"/>
      <family val="0"/>
      <color rgb="FF243442"/>
      <sz val="9"/>
    </font>
  </fonts>
  <fills count="16">
    <fill>
      <patternFill/>
    </fill>
    <fill>
      <patternFill patternType="gray125"/>
    </fill>
    <fill>
      <patternFill patternType="solid">
        <fgColor rgb="FF17324D"/>
        <bgColor rgb="FF243442"/>
      </patternFill>
    </fill>
    <fill>
      <patternFill patternType="solid">
        <fgColor rgb="FFF7F9FA"/>
        <bgColor rgb="FFF3F6F8"/>
      </patternFill>
    </fill>
    <fill>
      <patternFill patternType="solid">
        <fgColor rgb="FF1F4E5F"/>
        <bgColor rgb="FF156082"/>
      </patternFill>
    </fill>
    <fill>
      <patternFill patternType="solid">
        <fgColor rgb="FFF3F6F8"/>
        <bgColor rgb="FFF7F9FA"/>
      </patternFill>
    </fill>
    <fill>
      <patternFill patternType="solid">
        <fgColor rgb="FFFFF7E6"/>
        <bgColor rgb="FFFDF1D5"/>
      </patternFill>
    </fill>
    <fill>
      <patternFill patternType="solid">
        <fgColor rgb="FFDCEAF7"/>
        <bgColor rgb="FFD4E8E6"/>
      </patternFill>
    </fill>
    <fill>
      <patternFill patternType="solid">
        <fgColor rgb="FFE9E1F5"/>
        <bgColor rgb="FFDDE3E8"/>
      </patternFill>
    </fill>
    <fill>
      <patternFill patternType="solid">
        <fgColor rgb="FFFCE8E6"/>
        <bgColor rgb="FFFDF1D5"/>
      </patternFill>
    </fill>
    <fill>
      <patternFill patternType="solid">
        <fgColor rgb="FFDFF1E8"/>
        <bgColor rgb="FFDDF2E3"/>
      </patternFill>
    </fill>
    <fill>
      <patternFill patternType="solid">
        <fgColor rgb="FFFDF1D5"/>
        <bgColor rgb="FFFFF1C7"/>
      </patternFill>
    </fill>
    <fill>
      <patternFill patternType="solid">
        <fgColor rgb="FFD4E8E6"/>
        <bgColor rgb="FFDDE3E8"/>
      </patternFill>
    </fill>
    <fill>
      <patternFill patternType="solid">
        <fgColor rgb="FFB9DED7"/>
        <bgColor rgb="FFC9D3DC"/>
      </patternFill>
    </fill>
    <fill>
      <patternFill patternType="solid">
        <fgColor rgb="FFFFFFFF"/>
        <bgColor rgb="FFF7F9FA"/>
      </patternFill>
    </fill>
    <fill>
      <patternFill patternType="solid">
        <fgColor rgb="FFF3EEF9"/>
        <bgColor rgb="FFEEF2F5"/>
      </patternFill>
    </fill>
  </fills>
  <borders count="27">
    <border>
      <left/>
      <right/>
      <top/>
      <bottom/>
      <diagonal/>
    </border>
    <border>
      <left style="thin">
        <color rgb="FFC9D3DC"/>
      </left>
      <right style="thin">
        <color rgb="FFC9D3DC"/>
      </right>
      <top style="thin">
        <color rgb="FFC9D3DC"/>
      </top>
      <bottom style="thin">
        <color rgb="FFC9D3DC"/>
      </bottom>
      <diagonal/>
    </border>
    <border>
      <left style="thin">
        <color rgb="FFC9D3DC"/>
      </left>
      <right/>
      <top style="thin">
        <color rgb="FFC9D3DC"/>
      </top>
      <bottom/>
      <diagonal/>
    </border>
    <border>
      <left/>
      <right style="thin">
        <color rgb="FFC9D3DC"/>
      </right>
      <top style="thin">
        <color rgb="FFC9D3DC"/>
      </top>
      <bottom/>
      <diagonal/>
    </border>
    <border>
      <left style="thin">
        <color rgb="FFC9D3DC"/>
      </left>
      <right/>
      <top/>
      <bottom/>
      <diagonal/>
    </border>
    <border>
      <left/>
      <right style="thin">
        <color rgb="FFC9D3DC"/>
      </right>
      <top/>
      <bottom/>
      <diagonal/>
    </border>
    <border>
      <left style="thin">
        <color rgb="FFE8C980"/>
      </left>
      <right style="thin">
        <color rgb="FFE8C980"/>
      </right>
      <top style="thin">
        <color rgb="FFE8C980"/>
      </top>
      <bottom style="thin">
        <color rgb="FFE8C980"/>
      </bottom>
      <diagonal/>
    </border>
    <border>
      <left style="thin">
        <color rgb="FFC9D3DC"/>
      </left>
      <right/>
      <top/>
      <bottom style="thin">
        <color rgb="FFC9D3DC"/>
      </bottom>
      <diagonal/>
    </border>
    <border>
      <left/>
      <right style="thin">
        <color rgb="FFC9D3DC"/>
      </right>
      <top/>
      <bottom style="thin">
        <color rgb="FFC9D3DC"/>
      </bottom>
      <diagonal/>
    </border>
    <border>
      <left/>
      <right/>
      <top/>
      <bottom style="thin">
        <color rgb="FFDDE3E8"/>
      </bottom>
      <diagonal/>
    </border>
    <border>
      <left/>
      <right/>
      <top style="thin">
        <color rgb="FFDDE3E8"/>
      </top>
      <bottom style="thin">
        <color rgb="FFDDE3E8"/>
      </bottom>
      <diagonal/>
    </border>
    <border>
      <left/>
      <right/>
      <top style="thin">
        <color rgb="FFDDE3E8"/>
      </top>
      <bottom style="thin">
        <color rgb="FFAAB7C2"/>
      </bottom>
      <diagonal/>
    </border>
    <border>
      <left style="thin">
        <color rgb="FFAAB7C2"/>
      </left>
      <right style="thin">
        <color rgb="FFAAB7C2"/>
      </right>
      <top style="thin">
        <color rgb="FFAAB7C2"/>
      </top>
      <bottom style="thin">
        <color rgb="FFAAB7C2"/>
      </bottom>
      <diagonal/>
    </border>
    <border>
      <left/>
      <right/>
      <top style="thin">
        <color rgb="FFDDE3E8"/>
      </top>
      <bottom/>
      <diagonal/>
    </border>
    <border>
      <left/>
      <right/>
      <top style="thin">
        <color rgb="FFC9D3DC"/>
      </top>
      <bottom/>
      <diagonal/>
    </border>
    <border>
      <left/>
      <right/>
      <top/>
      <bottom style="thin">
        <color rgb="FFC9D3DC"/>
      </bottom>
      <diagonal/>
    </border>
    <border>
      <left/>
      <right/>
      <top style="thin">
        <color rgb="FFE8C980"/>
      </top>
      <bottom/>
      <diagonal/>
    </border>
    <border>
      <left style="thin">
        <color rgb="FFE8C980"/>
      </left>
      <right/>
      <top/>
      <bottom/>
      <diagonal/>
    </border>
    <border>
      <left/>
      <right style="thin">
        <color rgb="FFE8C980"/>
      </right>
      <top style="thin">
        <color rgb="FFE8C980"/>
      </top>
      <bottom/>
      <diagonal/>
    </border>
    <border>
      <left/>
      <right style="thin">
        <color rgb="FFE8C980"/>
      </right>
      <top/>
      <bottom/>
      <diagonal/>
    </border>
    <border>
      <left style="thin">
        <color rgb="FFE8C980"/>
      </left>
      <right/>
      <top/>
      <bottom style="thin">
        <color rgb="FFE8C980"/>
      </bottom>
      <diagonal/>
    </border>
    <border>
      <left/>
      <right/>
      <top/>
      <bottom style="thin">
        <color rgb="FFE8C980"/>
      </bottom>
      <diagonal/>
    </border>
    <border>
      <left/>
      <right style="thin">
        <color rgb="FFE8C980"/>
      </right>
      <top/>
      <bottom style="thin">
        <color rgb="FFE8C980"/>
      </bottom>
      <diagonal/>
    </border>
    <border>
      <left/>
      <right/>
      <top style="thin">
        <color rgb="FFAAB7C2"/>
      </top>
      <bottom/>
      <diagonal/>
    </border>
    <border>
      <left/>
      <right style="thin">
        <color rgb="FFAAB7C2"/>
      </right>
      <top style="thin">
        <color rgb="FFAAB7C2"/>
      </top>
      <bottom/>
      <diagonal/>
    </border>
    <border>
      <left/>
      <right/>
      <top style="thin">
        <color rgb="FFAAB7C2"/>
      </top>
      <bottom style="thin">
        <color rgb="FFAAB7C2"/>
      </bottom>
      <diagonal/>
    </border>
    <border>
      <left/>
      <right style="thin">
        <color rgb="FFAAB7C2"/>
      </right>
      <top style="thin">
        <color rgb="FFAAB7C2"/>
      </top>
      <bottom style="thin">
        <color rgb="FFAAB7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5">
    <xf numFmtId="0" fontId="0" fillId="0" borderId="0" applyAlignment="1" pivotButton="0" quotePrefix="0" xfId="0">
      <alignment horizontal="general" vertical="bottom"/>
    </xf>
    <xf numFmtId="0" fontId="5" fillId="0" borderId="0" applyAlignment="1" pivotButton="0" quotePrefix="0" xfId="20">
      <alignment horizontal="general" vertical="bottom"/>
    </xf>
    <xf numFmtId="0" fontId="6" fillId="0" borderId="0" applyAlignment="1" pivotButton="0" quotePrefix="0" xfId="20">
      <alignment horizontal="general" vertical="bottom"/>
    </xf>
    <xf numFmtId="0" fontId="7" fillId="2" borderId="0" applyAlignment="1" pivotButton="0" quotePrefix="0" xfId="20">
      <alignment horizontal="general" vertical="center"/>
    </xf>
    <xf numFmtId="0" fontId="8" fillId="3" borderId="1" applyAlignment="1" pivotButton="0" quotePrefix="0" xfId="20">
      <alignment horizontal="general" vertical="top" wrapText="1"/>
    </xf>
    <xf numFmtId="0" fontId="9" fillId="0" borderId="0" applyAlignment="1" pivotButton="0" quotePrefix="0" xfId="20">
      <alignment horizontal="general" vertical="top" wrapText="1"/>
    </xf>
    <xf numFmtId="0" fontId="10" fillId="0" borderId="0" applyAlignment="1" pivotButton="0" quotePrefix="0" xfId="20">
      <alignment horizontal="general" vertical="bottom"/>
    </xf>
    <xf numFmtId="0" fontId="11" fillId="4" borderId="0" applyAlignment="1" pivotButton="0" quotePrefix="0" xfId="20">
      <alignment horizontal="general" vertical="center" wrapText="1"/>
    </xf>
    <xf numFmtId="0" fontId="4" fillId="0" borderId="0" applyAlignment="1" pivotButton="0" quotePrefix="0" xfId="20">
      <alignment horizontal="general" vertical="top" wrapText="1"/>
    </xf>
    <xf numFmtId="164" fontId="4" fillId="0" borderId="0" applyAlignment="1" pivotButton="0" quotePrefix="0" xfId="20">
      <alignment horizontal="general" vertical="top" wrapText="1"/>
    </xf>
    <xf numFmtId="9" fontId="4" fillId="0" borderId="0" applyAlignment="1" pivotButton="0" quotePrefix="0" xfId="20">
      <alignment horizontal="general" vertical="bottom"/>
    </xf>
    <xf numFmtId="0" fontId="12" fillId="5" borderId="2" applyAlignment="1" pivotButton="0" quotePrefix="0" xfId="20">
      <alignment horizontal="general" vertical="bottom"/>
    </xf>
    <xf numFmtId="0" fontId="13" fillId="5" borderId="3" applyAlignment="1" pivotButton="0" quotePrefix="0" xfId="20">
      <alignment horizontal="general" vertical="bottom"/>
    </xf>
    <xf numFmtId="0" fontId="13" fillId="0" borderId="0" applyAlignment="1" pivotButton="0" quotePrefix="0" xfId="20">
      <alignment horizontal="general" vertical="bottom"/>
    </xf>
    <xf numFmtId="0" fontId="12" fillId="5" borderId="4" applyAlignment="1" pivotButton="0" quotePrefix="0" xfId="20">
      <alignment horizontal="general" vertical="bottom"/>
    </xf>
    <xf numFmtId="0" fontId="13" fillId="5" borderId="5" applyAlignment="1" pivotButton="0" quotePrefix="0" xfId="20">
      <alignment horizontal="general" vertical="bottom"/>
    </xf>
    <xf numFmtId="0" fontId="14" fillId="6" borderId="6" applyAlignment="1" pivotButton="0" quotePrefix="0" xfId="20">
      <alignment horizontal="general" vertical="center" wrapText="1"/>
    </xf>
    <xf numFmtId="0" fontId="12" fillId="5" borderId="7" applyAlignment="1" pivotButton="0" quotePrefix="0" xfId="20">
      <alignment horizontal="general" vertical="bottom"/>
    </xf>
    <xf numFmtId="9" fontId="13" fillId="5" borderId="8" applyAlignment="1" pivotButton="0" quotePrefix="0" xfId="20">
      <alignment horizontal="general" vertical="bottom"/>
    </xf>
    <xf numFmtId="0" fontId="15" fillId="2" borderId="9" applyAlignment="1" pivotButton="0" quotePrefix="0" xfId="20">
      <alignment horizontal="center" vertical="center" wrapText="1"/>
    </xf>
    <xf numFmtId="164" fontId="8" fillId="0" borderId="10" applyAlignment="1" pivotButton="0" quotePrefix="0" xfId="20">
      <alignment horizontal="general" vertical="top"/>
    </xf>
    <xf numFmtId="0" fontId="8" fillId="0" borderId="10" applyAlignment="1" pivotButton="0" quotePrefix="0" xfId="20">
      <alignment horizontal="general" vertical="top"/>
    </xf>
    <xf numFmtId="0" fontId="8" fillId="7" borderId="10" applyAlignment="1" pivotButton="0" quotePrefix="0" xfId="20">
      <alignment horizontal="general" vertical="top"/>
    </xf>
    <xf numFmtId="0" fontId="8" fillId="0" borderId="10" applyAlignment="1" pivotButton="0" quotePrefix="0" xfId="20">
      <alignment horizontal="general" vertical="top" wrapText="1"/>
    </xf>
    <xf numFmtId="0" fontId="8" fillId="0" borderId="10" applyAlignment="1" pivotButton="0" quotePrefix="0" xfId="20">
      <alignment horizontal="center" vertical="top"/>
    </xf>
    <xf numFmtId="0" fontId="8" fillId="8" borderId="10" applyAlignment="1" pivotButton="0" quotePrefix="0" xfId="20">
      <alignment horizontal="general" vertical="top"/>
    </xf>
    <xf numFmtId="0" fontId="8" fillId="9" borderId="10" applyAlignment="1" pivotButton="0" quotePrefix="0" xfId="20">
      <alignment horizontal="general" vertical="top"/>
    </xf>
    <xf numFmtId="0" fontId="8" fillId="10" borderId="10" applyAlignment="1" pivotButton="0" quotePrefix="0" xfId="20">
      <alignment horizontal="general" vertical="top"/>
    </xf>
    <xf numFmtId="0" fontId="8" fillId="11" borderId="10" applyAlignment="1" pivotButton="0" quotePrefix="0" xfId="20">
      <alignment horizontal="general" vertical="top"/>
    </xf>
    <xf numFmtId="0" fontId="8" fillId="12" borderId="10" applyAlignment="1" pivotButton="0" quotePrefix="0" xfId="20">
      <alignment horizontal="general" vertical="top"/>
    </xf>
    <xf numFmtId="164" fontId="8" fillId="0" borderId="11" applyAlignment="1" pivotButton="0" quotePrefix="0" xfId="20">
      <alignment horizontal="general" vertical="top"/>
    </xf>
    <xf numFmtId="0" fontId="8" fillId="0" borderId="11" applyAlignment="1" pivotButton="0" quotePrefix="0" xfId="20">
      <alignment horizontal="general" vertical="top"/>
    </xf>
    <xf numFmtId="0" fontId="8" fillId="13" borderId="11" applyAlignment="1" pivotButton="0" quotePrefix="0" xfId="20">
      <alignment horizontal="general" vertical="top"/>
    </xf>
    <xf numFmtId="0" fontId="8" fillId="0" borderId="11" applyAlignment="1" pivotButton="0" quotePrefix="0" xfId="20">
      <alignment horizontal="general" vertical="top" wrapText="1"/>
    </xf>
    <xf numFmtId="0" fontId="8" fillId="0" borderId="11" applyAlignment="1" pivotButton="0" quotePrefix="0" xfId="20">
      <alignment horizontal="center" vertical="top"/>
    </xf>
    <xf numFmtId="0" fontId="13" fillId="7" borderId="12" applyAlignment="1" pivotButton="0" quotePrefix="0" xfId="20">
      <alignment horizontal="general" vertical="center"/>
    </xf>
    <xf numFmtId="0" fontId="15" fillId="2" borderId="12" applyAlignment="1" pivotButton="0" quotePrefix="0" xfId="20">
      <alignment horizontal="center" vertical="center"/>
    </xf>
    <xf numFmtId="0" fontId="16" fillId="14" borderId="1" applyAlignment="1" pivotButton="0" quotePrefix="0" xfId="20">
      <alignment horizontal="general" vertical="top" wrapText="1"/>
    </xf>
    <xf numFmtId="0" fontId="16" fillId="15" borderId="1" applyAlignment="1" pivotButton="0" quotePrefix="0" xfId="20">
      <alignment horizontal="general" vertical="top" wrapText="1"/>
    </xf>
    <xf numFmtId="0" fontId="13" fillId="9" borderId="12" applyAlignment="1" pivotButton="0" quotePrefix="0" xfId="20">
      <alignment horizontal="general" vertical="center"/>
    </xf>
    <xf numFmtId="0" fontId="13" fillId="8" borderId="12" applyAlignment="1" pivotButton="0" quotePrefix="0" xfId="20">
      <alignment horizontal="general" vertical="center"/>
    </xf>
    <xf numFmtId="0" fontId="13" fillId="10" borderId="12" applyAlignment="1" pivotButton="0" quotePrefix="0" xfId="20">
      <alignment horizontal="general" vertical="center"/>
    </xf>
    <xf numFmtId="0" fontId="13" fillId="11" borderId="12" applyAlignment="1" pivotButton="0" quotePrefix="0" xfId="20">
      <alignment horizontal="general" vertical="center"/>
    </xf>
    <xf numFmtId="0" fontId="13" fillId="13" borderId="12" applyAlignment="1" pivotButton="0" quotePrefix="0" xfId="20">
      <alignment horizontal="general" vertical="center"/>
    </xf>
    <xf numFmtId="0" fontId="16" fillId="5" borderId="1" applyAlignment="1" pivotButton="0" quotePrefix="0" xfId="20">
      <alignment horizontal="general" vertical="top" wrapText="1"/>
    </xf>
    <xf numFmtId="0" fontId="15" fillId="2" borderId="0" applyAlignment="1" pivotButton="0" quotePrefix="0" xfId="20">
      <alignment horizontal="center" vertical="center"/>
    </xf>
    <xf numFmtId="0" fontId="8" fillId="0" borderId="9" applyAlignment="1" pivotButton="0" quotePrefix="0" xfId="20">
      <alignment horizontal="general" vertical="top" wrapText="1"/>
    </xf>
    <xf numFmtId="0" fontId="8" fillId="0" borderId="13" applyAlignment="1" pivotButton="0" quotePrefix="0" xfId="20">
      <alignment horizontal="general" vertical="top" wrapText="1"/>
    </xf>
    <xf numFmtId="0" fontId="9" fillId="0" borderId="0" applyAlignment="1" pivotButton="0" quotePrefix="0" xfId="20">
      <alignment horizontal="general" vertical="bottom"/>
    </xf>
    <xf numFmtId="0" fontId="0" fillId="0" borderId="0" applyAlignment="1" pivotButton="0" quotePrefix="0" xfId="0">
      <alignment horizontal="general" vertical="bottom"/>
    </xf>
    <xf numFmtId="0" fontId="0" fillId="0" borderId="0" pivotButton="0" quotePrefix="0" xfId="0"/>
    <xf numFmtId="0" fontId="5" fillId="0" borderId="0" applyAlignment="1" pivotButton="0" quotePrefix="0" xfId="20">
      <alignment horizontal="general" vertical="bottom"/>
    </xf>
    <xf numFmtId="0" fontId="6" fillId="0" borderId="0" applyAlignment="1" pivotButton="0" quotePrefix="0" xfId="20">
      <alignment horizontal="general" vertical="bottom"/>
    </xf>
    <xf numFmtId="0" fontId="7" fillId="2" borderId="0" applyAlignment="1" pivotButton="0" quotePrefix="0" xfId="20">
      <alignment horizontal="general" vertical="center"/>
    </xf>
    <xf numFmtId="0" fontId="8" fillId="3" borderId="1" applyAlignment="1" pivotButton="0" quotePrefix="0" xfId="20">
      <alignment horizontal="general" vertical="top" wrapText="1"/>
    </xf>
    <xf numFmtId="0" fontId="0" fillId="0" borderId="14"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7" pivotButton="0" quotePrefix="0" xfId="0"/>
    <xf numFmtId="0" fontId="0" fillId="0" borderId="15" pivotButton="0" quotePrefix="0" xfId="0"/>
    <xf numFmtId="0" fontId="0" fillId="0" borderId="8" pivotButton="0" quotePrefix="0" xfId="0"/>
    <xf numFmtId="0" fontId="9" fillId="0" borderId="0" applyAlignment="1" pivotButton="0" quotePrefix="0" xfId="20">
      <alignment horizontal="general" vertical="top" wrapText="1"/>
    </xf>
    <xf numFmtId="0" fontId="10" fillId="0" borderId="0" applyAlignment="1" pivotButton="0" quotePrefix="0" xfId="20">
      <alignment horizontal="general" vertical="bottom"/>
    </xf>
    <xf numFmtId="0" fontId="11" fillId="4" borderId="0" applyAlignment="1" pivotButton="0" quotePrefix="0" xfId="20">
      <alignment horizontal="general" vertical="center" wrapText="1"/>
    </xf>
    <xf numFmtId="0" fontId="4" fillId="0" borderId="0" applyAlignment="1" pivotButton="0" quotePrefix="0" xfId="20">
      <alignment horizontal="general" vertical="top" wrapText="1"/>
    </xf>
    <xf numFmtId="164" fontId="4" fillId="0" borderId="0" applyAlignment="1" pivotButton="0" quotePrefix="0" xfId="20">
      <alignment horizontal="general" vertical="top" wrapText="1"/>
    </xf>
    <xf numFmtId="9" fontId="4" fillId="0" borderId="0" applyAlignment="1" pivotButton="0" quotePrefix="0" xfId="20">
      <alignment horizontal="general" vertical="bottom"/>
    </xf>
    <xf numFmtId="0" fontId="12" fillId="5" borderId="2" applyAlignment="1" pivotButton="0" quotePrefix="0" xfId="20">
      <alignment horizontal="general" vertical="bottom"/>
    </xf>
    <xf numFmtId="0" fontId="13" fillId="5" borderId="3" applyAlignment="1" pivotButton="0" quotePrefix="0" xfId="20">
      <alignment horizontal="general" vertical="bottom"/>
    </xf>
    <xf numFmtId="0" fontId="13" fillId="0" borderId="0" applyAlignment="1" pivotButton="0" quotePrefix="0" xfId="20">
      <alignment horizontal="general" vertical="bottom"/>
    </xf>
    <xf numFmtId="0" fontId="12" fillId="5" borderId="4" applyAlignment="1" pivotButton="0" quotePrefix="0" xfId="20">
      <alignment horizontal="general" vertical="bottom"/>
    </xf>
    <xf numFmtId="0" fontId="13" fillId="5" borderId="5" applyAlignment="1" pivotButton="0" quotePrefix="0" xfId="20">
      <alignment horizontal="general" vertical="bottom"/>
    </xf>
    <xf numFmtId="0" fontId="14" fillId="6" borderId="6" applyAlignment="1" pivotButton="0" quotePrefix="0" xfId="20">
      <alignment horizontal="general" vertical="center" wrapText="1"/>
    </xf>
    <xf numFmtId="0" fontId="0" fillId="0" borderId="16" pivotButton="0" quotePrefix="0" xfId="0"/>
    <xf numFmtId="0" fontId="0" fillId="0" borderId="18" pivotButton="0" quotePrefix="0" xfId="0"/>
    <xf numFmtId="0" fontId="0" fillId="0" borderId="17" pivotButton="0" quotePrefix="0" xfId="0"/>
    <xf numFmtId="0" fontId="0" fillId="0" borderId="19" pivotButton="0" quotePrefix="0" xfId="0"/>
    <xf numFmtId="0" fontId="12" fillId="5" borderId="7" applyAlignment="1" pivotButton="0" quotePrefix="0" xfId="20">
      <alignment horizontal="general" vertical="bottom"/>
    </xf>
    <xf numFmtId="9" fontId="13" fillId="5" borderId="8" applyAlignment="1" pivotButton="0" quotePrefix="0" xfId="20">
      <alignment horizontal="general" vertical="bottom"/>
    </xf>
    <xf numFmtId="0" fontId="0" fillId="0" borderId="20" pivotButton="0" quotePrefix="0" xfId="0"/>
    <xf numFmtId="0" fontId="0" fillId="0" borderId="21" pivotButton="0" quotePrefix="0" xfId="0"/>
    <xf numFmtId="0" fontId="0" fillId="0" borderId="22" pivotButton="0" quotePrefix="0" xfId="0"/>
    <xf numFmtId="0" fontId="15" fillId="2" borderId="9" applyAlignment="1" pivotButton="0" quotePrefix="0" xfId="20">
      <alignment horizontal="center" vertical="center" wrapText="1"/>
    </xf>
    <xf numFmtId="164" fontId="8" fillId="0" borderId="10" applyAlignment="1" pivotButton="0" quotePrefix="0" xfId="20">
      <alignment horizontal="general" vertical="top"/>
    </xf>
    <xf numFmtId="0" fontId="8" fillId="0" borderId="10" applyAlignment="1" pivotButton="0" quotePrefix="0" xfId="20">
      <alignment horizontal="general" vertical="top"/>
    </xf>
    <xf numFmtId="0" fontId="8" fillId="7" borderId="10" applyAlignment="1" pivotButton="0" quotePrefix="0" xfId="20">
      <alignment horizontal="general" vertical="top"/>
    </xf>
    <xf numFmtId="0" fontId="8" fillId="0" borderId="10" applyAlignment="1" pivotButton="0" quotePrefix="0" xfId="20">
      <alignment horizontal="general" vertical="top" wrapText="1"/>
    </xf>
    <xf numFmtId="0" fontId="8" fillId="0" borderId="10" applyAlignment="1" pivotButton="0" quotePrefix="0" xfId="20">
      <alignment horizontal="center" vertical="top"/>
    </xf>
    <xf numFmtId="0" fontId="8" fillId="8" borderId="10" applyAlignment="1" pivotButton="0" quotePrefix="0" xfId="20">
      <alignment horizontal="general" vertical="top"/>
    </xf>
    <xf numFmtId="0" fontId="8" fillId="9" borderId="10" applyAlignment="1" pivotButton="0" quotePrefix="0" xfId="20">
      <alignment horizontal="general" vertical="top"/>
    </xf>
    <xf numFmtId="0" fontId="8" fillId="10" borderId="10" applyAlignment="1" pivotButton="0" quotePrefix="0" xfId="20">
      <alignment horizontal="general" vertical="top"/>
    </xf>
    <xf numFmtId="0" fontId="8" fillId="11" borderId="10" applyAlignment="1" pivotButton="0" quotePrefix="0" xfId="20">
      <alignment horizontal="general" vertical="top"/>
    </xf>
    <xf numFmtId="0" fontId="8" fillId="12" borderId="10" applyAlignment="1" pivotButton="0" quotePrefix="0" xfId="20">
      <alignment horizontal="general" vertical="top"/>
    </xf>
    <xf numFmtId="164" fontId="8" fillId="0" borderId="11" applyAlignment="1" pivotButton="0" quotePrefix="0" xfId="20">
      <alignment horizontal="general" vertical="top"/>
    </xf>
    <xf numFmtId="0" fontId="8" fillId="0" borderId="11" applyAlignment="1" pivotButton="0" quotePrefix="0" xfId="20">
      <alignment horizontal="general" vertical="top"/>
    </xf>
    <xf numFmtId="0" fontId="8" fillId="13" borderId="11" applyAlignment="1" pivotButton="0" quotePrefix="0" xfId="20">
      <alignment horizontal="general" vertical="top"/>
    </xf>
    <xf numFmtId="0" fontId="8" fillId="0" borderId="11" applyAlignment="1" pivotButton="0" quotePrefix="0" xfId="20">
      <alignment horizontal="general" vertical="top" wrapText="1"/>
    </xf>
    <xf numFmtId="0" fontId="8" fillId="0" borderId="11" applyAlignment="1" pivotButton="0" quotePrefix="0" xfId="20">
      <alignment horizontal="center" vertical="top"/>
    </xf>
    <xf numFmtId="0" fontId="13" fillId="7" borderId="12" applyAlignment="1" pivotButton="0" quotePrefix="0" xfId="20">
      <alignment horizontal="general" vertical="center"/>
    </xf>
    <xf numFmtId="0" fontId="0" fillId="0" borderId="25" pivotButton="0" quotePrefix="0" xfId="0"/>
    <xf numFmtId="0" fontId="0" fillId="0" borderId="26" pivotButton="0" quotePrefix="0" xfId="0"/>
    <xf numFmtId="0" fontId="15" fillId="2" borderId="12" applyAlignment="1" pivotButton="0" quotePrefix="0" xfId="20">
      <alignment horizontal="center" vertical="center"/>
    </xf>
    <xf numFmtId="0" fontId="16" fillId="14" borderId="1" applyAlignment="1" pivotButton="0" quotePrefix="0" xfId="20">
      <alignment horizontal="general" vertical="top" wrapText="1"/>
    </xf>
    <xf numFmtId="0" fontId="16" fillId="15" borderId="1" applyAlignment="1" pivotButton="0" quotePrefix="0" xfId="20">
      <alignment horizontal="general" vertical="top" wrapText="1"/>
    </xf>
    <xf numFmtId="0" fontId="13" fillId="9" borderId="12" applyAlignment="1" pivotButton="0" quotePrefix="0" xfId="20">
      <alignment horizontal="general" vertical="center"/>
    </xf>
    <xf numFmtId="0" fontId="13" fillId="8" borderId="12" applyAlignment="1" pivotButton="0" quotePrefix="0" xfId="20">
      <alignment horizontal="general" vertical="center"/>
    </xf>
    <xf numFmtId="0" fontId="13" fillId="10" borderId="12" applyAlignment="1" pivotButton="0" quotePrefix="0" xfId="20">
      <alignment horizontal="general" vertical="center"/>
    </xf>
    <xf numFmtId="0" fontId="13" fillId="11" borderId="12" applyAlignment="1" pivotButton="0" quotePrefix="0" xfId="20">
      <alignment horizontal="general" vertical="center"/>
    </xf>
    <xf numFmtId="0" fontId="13" fillId="13" borderId="12" applyAlignment="1" pivotButton="0" quotePrefix="0" xfId="20">
      <alignment horizontal="general" vertical="center"/>
    </xf>
    <xf numFmtId="0" fontId="16" fillId="5" borderId="1" applyAlignment="1" pivotButton="0" quotePrefix="0" xfId="20">
      <alignment horizontal="general" vertical="top" wrapText="1"/>
    </xf>
    <xf numFmtId="0" fontId="15" fillId="2" borderId="0" applyAlignment="1" pivotButton="0" quotePrefix="0" xfId="20">
      <alignment horizontal="center" vertical="center"/>
    </xf>
    <xf numFmtId="0" fontId="8" fillId="0" borderId="9" applyAlignment="1" pivotButton="0" quotePrefix="0" xfId="20">
      <alignment horizontal="general" vertical="top" wrapText="1"/>
    </xf>
    <xf numFmtId="0" fontId="8" fillId="0" borderId="13" applyAlignment="1" pivotButton="0" quotePrefix="0" xfId="20">
      <alignment horizontal="general" vertical="top" wrapText="1"/>
    </xf>
    <xf numFmtId="0" fontId="9" fillId="0" borderId="0" applyAlignment="1" pivotButton="0" quotePrefix="0" xfId="2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6">
    <dxf>
      <fill>
        <patternFill patternType="solid">
          <fgColor rgb="FF17324D"/>
          <bgColor rgb="FF000000"/>
        </patternFill>
      </fill>
    </dxf>
    <dxf>
      <fill>
        <patternFill patternType="solid">
          <bgColor rgb="FF000000"/>
        </patternFill>
      </fill>
    </dxf>
    <dxf>
      <fill>
        <patternFill patternType="solid">
          <fgColor rgb="FF243442"/>
          <bgColor rgb="FF000000"/>
        </patternFill>
      </fill>
    </dxf>
    <dxf>
      <fill>
        <patternFill patternType="solid">
          <fgColor rgb="FFFFFFFF"/>
          <bgColor rgb="FF000000"/>
        </patternFill>
      </fill>
    </dxf>
    <dxf>
      <fill>
        <patternFill patternType="solid">
          <fgColor rgb="FFE9E1F5"/>
          <bgColor rgb="FF000000"/>
        </patternFill>
      </fill>
    </dxf>
    <dxf>
      <fill>
        <patternFill patternType="solid">
          <fgColor rgb="FFB9DED7"/>
          <bgColor rgb="FF000000"/>
        </patternFill>
      </fill>
    </dxf>
    <dxf>
      <fill>
        <patternFill patternType="solid">
          <fgColor rgb="FFD4E8E6"/>
          <bgColor rgb="FF000000"/>
        </patternFill>
      </fill>
    </dxf>
    <dxf>
      <fill>
        <patternFill patternType="solid">
          <fgColor rgb="FFDCEAF7"/>
          <bgColor rgb="FF000000"/>
        </patternFill>
      </fill>
    </dxf>
    <dxf>
      <fill>
        <patternFill patternType="solid">
          <fgColor rgb="FFDFF1E8"/>
          <bgColor rgb="FF000000"/>
        </patternFill>
      </fill>
    </dxf>
    <dxf>
      <fill>
        <patternFill patternType="solid">
          <fgColor rgb="FFFCE8E6"/>
          <bgColor rgb="FF000000"/>
        </patternFill>
      </fill>
    </dxf>
    <dxf>
      <fill>
        <patternFill patternType="solid">
          <fgColor rgb="FFFDF1D5"/>
          <bgColor rgb="FF000000"/>
        </patternFill>
      </fill>
    </dxf>
    <dxf>
      <fill>
        <patternFill patternType="solid">
          <fgColor rgb="FFDDF2E3"/>
          <bgColor rgb="FF000000"/>
        </patternFill>
      </fill>
    </dxf>
    <dxf>
      <fill>
        <patternFill patternType="solid">
          <fgColor rgb="FFEEF2F5"/>
          <bgColor rgb="FF000000"/>
        </patternFill>
      </fill>
    </dxf>
    <dxf>
      <fill>
        <patternFill patternType="solid">
          <fgColor rgb="FF216E39"/>
          <bgColor rgb="FF000000"/>
        </patternFill>
      </fill>
    </dxf>
    <dxf>
      <fill>
        <patternFill patternType="solid">
          <fgColor rgb="FF566573"/>
          <bgColor rgb="FF000000"/>
        </patternFill>
      </fill>
    </dxf>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19"/>
      <tableStyleElement type="firstColumnStripe" dxfId="20"/>
      <tableStyleElement type="firstRowStripe" dxfId="21"/>
      <tableStyleElement type="lastColumn" dxfId="22"/>
      <tableStyleElement type="firstColumn" dxfId="23"/>
      <tableStyleElement type="headerRow" dxfId="24"/>
      <tableStyleElement type="totalRow" dxfId="25"/>
    </tableStyle>
  </tableStyles>
  <colors>
    <indexedColors>
      <rgbColor rgb="FF000000"/>
      <rgbColor rgb="FFFFFFFF"/>
      <rgbColor rgb="FFFF0000"/>
      <rgbColor rgb="FF00FF00"/>
      <rgbColor rgb="FF0000FF"/>
      <rgbColor rgb="FFFDF1D5"/>
      <rgbColor rgb="FFFF00FF"/>
      <rgbColor rgb="FF00FFFF"/>
      <rgbColor rgb="FF800000"/>
      <rgbColor rgb="FF216E39"/>
      <rgbColor rgb="FF000080"/>
      <rgbColor rgb="FF805B00"/>
      <rgbColor rgb="FF800080"/>
      <rgbColor rgb="FF2B7A78"/>
      <rgbColor rgb="FFAAB7C2"/>
      <rgbColor rgb="FF7B8794"/>
      <rgbColor rgb="FFDDE3E8"/>
      <rgbColor rgb="FF993366"/>
      <rgbColor rgb="FFFFF7E6"/>
      <rgbColor rgb="FFDFF1E8"/>
      <rgbColor rgb="FF660066"/>
      <rgbColor rgb="FFF3EEF9"/>
      <rgbColor rgb="FF0066CC"/>
      <rgbColor rgb="FFC9D3DC"/>
      <rgbColor rgb="FF000080"/>
      <rgbColor rgb="FFFF00FF"/>
      <rgbColor rgb="FFFCE8E6"/>
      <rgbColor rgb="FF00FFFF"/>
      <rgbColor rgb="FF800080"/>
      <rgbColor rgb="FF800000"/>
      <rgbColor rgb="FF156082"/>
      <rgbColor rgb="FF0000FF"/>
      <rgbColor rgb="FF00CCFF"/>
      <rgbColor rgb="FFDCEAF7"/>
      <rgbColor rgb="FFDDF2E3"/>
      <rgbColor rgb="FFFFF1C7"/>
      <rgbColor rgb="FFB9DED7"/>
      <rgbColor rgb="FFFADBD8"/>
      <rgbColor rgb="FFE9E1F5"/>
      <rgbColor rgb="FFE8C980"/>
      <rgbColor rgb="FF3366FF"/>
      <rgbColor rgb="FF46B1E1"/>
      <rgbColor rgb="FFF3F6F8"/>
      <rgbColor rgb="FFEEF2F5"/>
      <rgbColor rgb="FFF7F9FA"/>
      <rgbColor rgb="FFFF6600"/>
      <rgbColor rgb="FF566573"/>
      <rgbColor rgb="FFD4E8E6"/>
      <rgbColor rgb="FF17324D"/>
      <rgbColor rgb="FF339966"/>
      <rgbColor rgb="FF003300"/>
      <rgbColor rgb="FF5A4625"/>
      <rgbColor rgb="FFA61B1B"/>
      <rgbColor rgb="FF993366"/>
      <rgbColor rgb="FF1F4E5F"/>
      <rgbColor rgb="FF243442"/>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filterMode="0">
    <tabColor rgb="FF17324D"/>
    <outlinePr summaryBelow="1" summaryRight="1"/>
    <pageSetUpPr fitToPage="0"/>
  </sheetPr>
  <dimension ref="A2:H5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8" customWidth="1" style="49" min="1" max="8"/>
  </cols>
  <sheetData>
    <row r="2" ht="19.7" customHeight="1" s="50">
      <c r="A2" s="51" t="inlineStr">
        <is>
          <t>YOW November launch sprint — start here</t>
        </is>
      </c>
    </row>
    <row r="3" ht="15" customHeight="1" s="50">
      <c r="A3" s="52" t="inlineStr">
        <is>
          <t>Quiet release Sunday 1 November · public launch and marketing Monday 2 November</t>
        </is>
      </c>
    </row>
    <row r="5" ht="22" customHeight="1" s="50">
      <c r="A5" s="53" t="inlineStr">
        <is>
          <t>The basic routine</t>
        </is>
      </c>
    </row>
    <row r="6" ht="22" customHeight="1" s="50">
      <c r="A6" s="5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55" t="n"/>
      <c r="C6" s="55" t="n"/>
      <c r="D6" s="55" t="n"/>
      <c r="E6" s="55" t="n"/>
      <c r="F6" s="55" t="n"/>
      <c r="G6" s="55" t="n"/>
      <c r="H6" s="56" t="n"/>
    </row>
    <row r="7" ht="22" customHeight="1" s="50">
      <c r="A7" s="57" t="n"/>
      <c r="H7" s="58" t="n"/>
    </row>
    <row r="8" ht="22" customHeight="1" s="50">
      <c r="A8" s="57" t="n"/>
      <c r="H8" s="58" t="n"/>
    </row>
    <row r="9" ht="22" customHeight="1" s="50">
      <c r="A9" s="57" t="n"/>
      <c r="H9" s="58" t="n"/>
    </row>
    <row r="10" ht="22" customHeight="1" s="50">
      <c r="A10" s="59" t="n"/>
      <c r="B10" s="60" t="n"/>
      <c r="C10" s="60" t="n"/>
      <c r="D10" s="60" t="n"/>
      <c r="E10" s="60" t="n"/>
      <c r="F10" s="60" t="n"/>
      <c r="G10" s="60" t="n"/>
      <c r="H10" s="61" t="n"/>
    </row>
    <row r="11" ht="22" customHeight="1" s="50"/>
    <row r="12" ht="22" customHeight="1" s="50">
      <c r="A12" s="53" t="inlineStr">
        <is>
          <t>Your non-negotiable time limits</t>
        </is>
      </c>
    </row>
    <row r="13" ht="22" customHeight="1" s="50">
      <c r="A13" s="5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55" t="n"/>
      <c r="C13" s="55" t="n"/>
      <c r="D13" s="55" t="n"/>
      <c r="E13" s="55" t="n"/>
      <c r="F13" s="55" t="n"/>
      <c r="G13" s="55" t="n"/>
      <c r="H13" s="56" t="n"/>
    </row>
    <row r="14" ht="22" customHeight="1" s="50">
      <c r="A14" s="57" t="n"/>
      <c r="H14" s="58" t="n"/>
    </row>
    <row r="15" ht="22" customHeight="1" s="50">
      <c r="A15" s="57" t="n"/>
      <c r="H15" s="58" t="n"/>
    </row>
    <row r="16" ht="22" customHeight="1" s="50">
      <c r="A16" s="57" t="n"/>
      <c r="H16" s="58" t="n"/>
    </row>
    <row r="17" ht="22" customHeight="1" s="50">
      <c r="A17" s="59" t="n"/>
      <c r="B17" s="60" t="n"/>
      <c r="C17" s="60" t="n"/>
      <c r="D17" s="60" t="n"/>
      <c r="E17" s="60" t="n"/>
      <c r="F17" s="60" t="n"/>
      <c r="G17" s="60" t="n"/>
      <c r="H17" s="61" t="n"/>
    </row>
    <row r="18" ht="22" customHeight="1" s="50"/>
    <row r="19" ht="22" customHeight="1" s="50">
      <c r="A19" s="53" t="inlineStr">
        <is>
          <t>How to use the Daily Guide</t>
        </is>
      </c>
    </row>
    <row r="20" ht="22" customHeight="1" s="50">
      <c r="A20" s="5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55" t="n"/>
      <c r="C20" s="55" t="n"/>
      <c r="D20" s="55" t="n"/>
      <c r="E20" s="55" t="n"/>
      <c r="F20" s="55" t="n"/>
      <c r="G20" s="55" t="n"/>
      <c r="H20" s="56" t="n"/>
    </row>
    <row r="21" ht="22" customHeight="1" s="50">
      <c r="A21" s="57" t="n"/>
      <c r="H21" s="58" t="n"/>
    </row>
    <row r="22" ht="22" customHeight="1" s="50">
      <c r="A22" s="57" t="n"/>
      <c r="H22" s="58" t="n"/>
    </row>
    <row r="23" ht="22" customHeight="1" s="50">
      <c r="A23" s="57" t="n"/>
      <c r="H23" s="58" t="n"/>
    </row>
    <row r="24" ht="22" customHeight="1" s="50">
      <c r="A24" s="59" t="n"/>
      <c r="B24" s="60" t="n"/>
      <c r="C24" s="60" t="n"/>
      <c r="D24" s="60" t="n"/>
      <c r="E24" s="60" t="n"/>
      <c r="F24" s="60" t="n"/>
      <c r="G24" s="60" t="n"/>
      <c r="H24" s="61" t="n"/>
    </row>
    <row r="25" ht="22" customHeight="1" s="50"/>
    <row r="26" ht="22" customHeight="1" s="50">
      <c r="A26" s="53" t="inlineStr">
        <is>
          <t>Safety rules</t>
        </is>
      </c>
    </row>
    <row r="27" ht="22" customHeight="1" s="50">
      <c r="A27" s="5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55" t="n"/>
      <c r="C27" s="55" t="n"/>
      <c r="D27" s="55" t="n"/>
      <c r="E27" s="55" t="n"/>
      <c r="F27" s="55" t="n"/>
      <c r="G27" s="55" t="n"/>
      <c r="H27" s="56" t="n"/>
    </row>
    <row r="28" ht="22" customHeight="1" s="50">
      <c r="A28" s="57" t="n"/>
      <c r="H28" s="58" t="n"/>
    </row>
    <row r="29" ht="22" customHeight="1" s="50">
      <c r="A29" s="57" t="n"/>
      <c r="H29" s="58" t="n"/>
    </row>
    <row r="30" ht="22" customHeight="1" s="50">
      <c r="A30" s="57" t="n"/>
      <c r="H30" s="58" t="n"/>
    </row>
    <row r="31" ht="22" customHeight="1" s="50">
      <c r="A31" s="59" t="n"/>
      <c r="B31" s="60" t="n"/>
      <c r="C31" s="60" t="n"/>
      <c r="D31" s="60" t="n"/>
      <c r="E31" s="60" t="n"/>
      <c r="F31" s="60" t="n"/>
      <c r="G31" s="60" t="n"/>
      <c r="H31" s="61" t="n"/>
    </row>
    <row r="32" ht="22" customHeight="1" s="50"/>
    <row r="33" ht="22" customHeight="1" s="50">
      <c r="A33" s="53" t="inlineStr">
        <is>
          <t>Beta closure and launch</t>
        </is>
      </c>
    </row>
    <row r="34" ht="22" customHeight="1" s="50">
      <c r="A34" s="5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55" t="n"/>
      <c r="C34" s="55" t="n"/>
      <c r="D34" s="55" t="n"/>
      <c r="E34" s="55" t="n"/>
      <c r="F34" s="55" t="n"/>
      <c r="G34" s="55" t="n"/>
      <c r="H34" s="56" t="n"/>
    </row>
    <row r="35" ht="22" customHeight="1" s="50">
      <c r="A35" s="57" t="n"/>
      <c r="H35" s="58" t="n"/>
    </row>
    <row r="36" ht="22" customHeight="1" s="50">
      <c r="A36" s="57" t="n"/>
      <c r="H36" s="58" t="n"/>
    </row>
    <row r="37" ht="22" customHeight="1" s="50">
      <c r="A37" s="57" t="n"/>
      <c r="H37" s="58" t="n"/>
    </row>
    <row r="38" ht="22" customHeight="1" s="50">
      <c r="A38" s="59" t="n"/>
      <c r="B38" s="60" t="n"/>
      <c r="C38" s="60" t="n"/>
      <c r="D38" s="60" t="n"/>
      <c r="E38" s="60" t="n"/>
      <c r="F38" s="60" t="n"/>
      <c r="G38" s="60" t="n"/>
      <c r="H38" s="61" t="n"/>
    </row>
    <row r="39" ht="22" customHeight="1" s="50"/>
    <row r="40" ht="22" customHeight="1" s="50">
      <c r="A40" s="53" t="inlineStr">
        <is>
          <t>If something fails</t>
        </is>
      </c>
    </row>
    <row r="41" ht="22" customHeight="1" s="50">
      <c r="A41" s="5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55" t="n"/>
      <c r="C41" s="55" t="n"/>
      <c r="D41" s="55" t="n"/>
      <c r="E41" s="55" t="n"/>
      <c r="F41" s="55" t="n"/>
      <c r="G41" s="55" t="n"/>
      <c r="H41" s="56" t="n"/>
    </row>
    <row r="42" ht="22" customHeight="1" s="50">
      <c r="A42" s="57" t="n"/>
      <c r="H42" s="58" t="n"/>
    </row>
    <row r="43" ht="22" customHeight="1" s="50">
      <c r="A43" s="57" t="n"/>
      <c r="H43" s="58" t="n"/>
    </row>
    <row r="44" ht="22" customHeight="1" s="50">
      <c r="A44" s="57" t="n"/>
      <c r="H44" s="58" t="n"/>
    </row>
    <row r="45" ht="22" customHeight="1" s="50">
      <c r="A45" s="59" t="n"/>
      <c r="B45" s="60" t="n"/>
      <c r="C45" s="60" t="n"/>
      <c r="D45" s="60" t="n"/>
      <c r="E45" s="60" t="n"/>
      <c r="F45" s="60" t="n"/>
      <c r="G45" s="60" t="n"/>
      <c r="H45" s="61" t="n"/>
    </row>
    <row r="46" ht="22" customHeight="1" s="50"/>
    <row r="47" ht="22" customHeight="1" s="50">
      <c r="A47" s="53" t="inlineStr">
        <is>
          <t>Import the calendar</t>
        </is>
      </c>
    </row>
    <row r="48" ht="22" customHeight="1" s="50">
      <c r="A48" s="5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55" t="n"/>
      <c r="C48" s="55" t="n"/>
      <c r="D48" s="55" t="n"/>
      <c r="E48" s="55" t="n"/>
      <c r="F48" s="55" t="n"/>
      <c r="G48" s="55" t="n"/>
      <c r="H48" s="56" t="n"/>
    </row>
    <row r="49" ht="22" customHeight="1" s="50">
      <c r="A49" s="57" t="n"/>
      <c r="H49" s="58" t="n"/>
    </row>
    <row r="50" ht="22" customHeight="1" s="50">
      <c r="A50" s="57" t="n"/>
      <c r="H50" s="58" t="n"/>
    </row>
    <row r="51" ht="22" customHeight="1" s="50">
      <c r="A51" s="57" t="n"/>
      <c r="H51" s="58" t="n"/>
    </row>
    <row r="52" ht="22" customHeight="1" s="50">
      <c r="A52" s="59" t="n"/>
      <c r="B52" s="60" t="n"/>
      <c r="C52" s="60" t="n"/>
      <c r="D52" s="60" t="n"/>
      <c r="E52" s="60" t="n"/>
      <c r="F52" s="60" t="n"/>
      <c r="G52" s="60" t="n"/>
      <c r="H52" s="61" t="n"/>
    </row>
    <row r="54" ht="229.85" customHeight="1" s="50">
      <c r="A54" s="6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 Updated 5 Oct: Daily Guide now ends at 5 Oct (6 Oct marked Moved); 'Plan from 1 Oct' is the only live schedule from 1 Oct and has been brought up to date through 5 Oct (3 and 4 Oct Done, 5 Oct awaiting your gate sign-off, 6-7 Oct partly pulled forward, pricing/Stripe test work recorded on 21-23 Oct).</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 customWidth="1" style="49" min="1" max="1"/>
    <col width="28" customWidth="1" style="49" min="2" max="2"/>
    <col width="110" customWidth="1" style="49" min="3" max="3"/>
    <col width="26" customWidth="1" style="49" min="4" max="4"/>
    <col width="12" customWidth="1" style="49" min="5" max="5"/>
  </cols>
  <sheetData>
    <row r="1" ht="16.15" customHeight="1" s="50">
      <c r="A1" s="63" t="inlineStr">
        <is>
          <t>Do now — things you can do before the AI has prepared anything. About 1 hour in total, in any order, fitted around your day.</t>
        </is>
      </c>
    </row>
    <row r="2" ht="15" customHeight="1" s="50">
      <c r="A2" s="49" t="inlineStr">
        <is>
          <t>Never paste passwords, API keys or recovery codes. Never use the owner/admin account for tests. Stop if a screen differs from the steps and tell me exactly what you see.</t>
        </is>
      </c>
    </row>
    <row r="4" ht="15" customHeight="1" s="50">
      <c r="A4" s="64" t="inlineStr">
        <is>
          <t>#</t>
        </is>
      </c>
      <c r="B4" s="64" t="inlineStr">
        <is>
          <t>Task</t>
        </is>
      </c>
      <c r="C4" s="64" t="inlineStr">
        <is>
          <t>Steps</t>
        </is>
      </c>
      <c r="D4" s="64" t="inlineStr">
        <is>
          <t>Needs</t>
        </is>
      </c>
      <c r="E4" s="64" t="inlineStr">
        <is>
          <t>Sheet ref</t>
        </is>
      </c>
    </row>
    <row r="5" ht="15" customHeight="1" s="50">
      <c r="A5" s="65" t="inlineStr">
        <is>
          <t>1</t>
        </is>
      </c>
      <c r="B5" s="65" t="inlineStr">
        <is>
          <t>Decisions - DONE 30 Sep</t>
        </is>
      </c>
      <c r="C5" s="65" t="inlineStr">
        <is>
          <t>All defaults accepted; AI providers limited to OpenRouter and OpenAI (D5).</t>
        </is>
      </c>
      <c r="D5" s="65" t="inlineStr">
        <is>
          <t>Nothing to do</t>
        </is>
      </c>
      <c r="E5" s="65" t="inlineStr">
        <is>
          <t>Decisions</t>
        </is>
      </c>
    </row>
    <row r="6" ht="23.85" customHeight="1" s="50">
      <c r="A6" s="65" t="inlineStr">
        <is>
          <t>2</t>
        </is>
      </c>
      <c r="B6" s="65" t="inlineStr">
        <is>
          <t>O14 Support inbox test - DONE 30 Sep</t>
        </is>
      </c>
      <c r="C6" s="65" t="inlineStr">
        <is>
          <t>Both emails arrived. The reply showed as 'Morgan Bishop, yourownworld.admin@gmail.com' rather than support@ / founders@. Follow-up is task 6.</t>
        </is>
      </c>
      <c r="D6" s="65" t="inlineStr">
        <is>
          <t>Done</t>
        </is>
      </c>
      <c r="E6" s="65" t="inlineStr">
        <is>
          <t>O14</t>
        </is>
      </c>
    </row>
    <row r="7" ht="23.85" customHeight="1" s="50">
      <c r="A7" s="65" t="inlineStr">
        <is>
          <t>3</t>
        </is>
      </c>
      <c r="B7" s="65" t="inlineStr">
        <is>
          <t>O02 Leaked-password protection - DONE 30 Sep</t>
        </is>
      </c>
      <c r="C7" s="65" t="inlineStr">
        <is>
          <t>Not offered on your current Supabase plan, so it stays as a known Advisor warning. The AI will check your minimum password rules on 9 Oct instead. Do not upgrade the plan for this.</t>
        </is>
      </c>
      <c r="D7" s="65" t="inlineStr">
        <is>
          <t>Done</t>
        </is>
      </c>
      <c r="E7" s="65" t="inlineStr">
        <is>
          <t>O02</t>
        </is>
      </c>
    </row>
    <row r="8" ht="23.85" customHeight="1" s="50">
      <c r="A8" s="65" t="inlineStr">
        <is>
          <t>4</t>
        </is>
      </c>
      <c r="B8" s="65" t="inlineStr">
        <is>
          <t>O06 Windows machine - DONE 30 Sep</t>
        </is>
      </c>
      <c r="C8" s="65" t="inlineStr">
        <is>
          <t>You have a real Windows PC with admin rights. Quick extra: press the Windows key + R, type winver, press Enter, and note the Windows version shown (then close the box). Tell me whenever convenient, before 17 Oct. Do not install anything yet.</t>
        </is>
      </c>
      <c r="D8" s="65" t="inlineStr">
        <is>
          <t>Done</t>
        </is>
      </c>
      <c r="E8" s="65" t="inlineStr">
        <is>
          <t>O06</t>
        </is>
      </c>
    </row>
    <row r="9" ht="23.85" customHeight="1" s="50">
      <c r="A9" s="65" t="inlineStr">
        <is>
          <t>5</t>
        </is>
      </c>
      <c r="B9" s="65" t="inlineStr">
        <is>
          <t>O01 Fresh-account walkthrough - DONE 30 Sep (owner-attested)</t>
        </is>
      </c>
      <c r="C9" s="65" t="inlineStr">
        <is>
          <t>You have run this many times, so it is recorded as passed on your word. No formal evidence was saved; if a fresh-account problem ever shows up we will reopen it.</t>
        </is>
      </c>
      <c r="D9" s="65" t="inlineStr">
        <is>
          <t>Done</t>
        </is>
      </c>
      <c r="E9" s="65" t="inlineStr">
        <is>
          <t>O01</t>
        </is>
      </c>
    </row>
    <row r="10" ht="292.5" customHeight="1" s="50">
      <c r="A10" s="65" t="inlineStr">
        <is>
          <t>6</t>
        </is>
      </c>
      <c r="B10" s="65" t="inlineStr">
        <is>
          <t>O16 Replies show the YOW address (about 20 min)</t>
        </is>
      </c>
      <c r="C10" s="65" t="inlineStr">
        <is>
          <t>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is>
      </c>
      <c r="D10" s="65" t="inlineStr">
        <is>
          <t>Resend dashboard + Gmail settings</t>
        </is>
      </c>
      <c r="E10" s="65" t="inlineStr">
        <is>
          <t>O16</t>
        </is>
      </c>
    </row>
    <row r="11" ht="57.45" customHeight="1" s="50">
      <c r="A11" s="65" t="inlineStr">
        <is>
          <t>7</t>
        </is>
      </c>
      <c r="B11" s="65" t="inlineStr">
        <is>
          <t>Check the new exports - DONE 2 Oct</t>
        </is>
      </c>
      <c r="C11" s="65" t="inlineStr">
        <is>
          <t>1. Open YOW (live site, after the update finishes deploying).
2. Graphic Novel project: Project Settings &gt; Export &gt; PDF. Open it and confirm each comic page and its images are there.
3. D&amp;D project: Export &gt; Word (ZIP). Open the Campaign Sessions file and confirm each encounter's text is under its session.
4. Party &gt; click a character &gt; Download PDF (top right). Compare with the on-screen sheet.
Tell Claude what looks wrong; do not fix anything yourself.</t>
        </is>
      </c>
      <c r="D11" s="65" t="inlineStr">
        <is>
          <t>Done</t>
        </is>
      </c>
      <c r="E11" s="65" t="inlineStr">
        <is>
          <t>Plan from 1 Oct, 2 Oct</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P37"/>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customHeight="0" zeroHeight="0" outlineLevelRow="0"/>
  <cols>
    <col width="12" customWidth="1" style="49" min="1" max="1"/>
    <col width="6" customWidth="1" style="49" min="2" max="2"/>
    <col width="18" customWidth="1" style="49" min="3" max="3"/>
    <col width="55" customWidth="1" style="49" min="4" max="4"/>
    <col width="70" customWidth="1" style="49" min="5" max="5"/>
    <col width="55" customWidth="1" style="49" min="6" max="6"/>
    <col width="16" customWidth="1" style="49" min="7" max="7"/>
    <col width="18" customWidth="1" style="49" min="8" max="8"/>
    <col width="10" customWidth="1" style="49" min="9" max="9"/>
    <col width="8" customWidth="1" style="49" min="10" max="10"/>
    <col width="12" customWidth="1" style="49" min="11" max="11"/>
    <col width="40" customWidth="1" style="49" min="12" max="12"/>
    <col width="14" customWidth="1" style="49" min="13" max="13"/>
  </cols>
  <sheetData>
    <row r="1" ht="16.15" customHeight="1" s="50">
      <c r="A1" s="63" t="inlineStr">
        <is>
          <t>YOW launch plan from 1 October — every open roadmap item scheduled; owner overflow fits inside the day caps. Launch still Sun 1 Nov (quiet) / Mon 2 Nov (public).</t>
        </is>
      </c>
    </row>
    <row r="2" ht="15" customHeight="1" s="50">
      <c r="A2" s="49" t="inlineStr">
        <is>
          <t>AI work is uncapped and runs from the daily 07:15 handoff. Your time: weekday 10 min + evening cap, weekend 15 min + up to 3 h 45 min. Do not paste secrets. A failed hard gate moves the date. Status: Not started / In progress / Done / Blocked.</t>
        </is>
      </c>
    </row>
    <row r="3" ht="15" customHeight="1" s="50">
      <c r="O3" s="49" t="inlineStr">
        <is>
          <t>Tasks</t>
        </is>
      </c>
      <c r="P3" s="49">
        <f>COUNTA(A5:A37)</f>
        <v/>
      </c>
    </row>
    <row r="4" ht="39.55" customHeight="1" s="50">
      <c r="A4" s="64" t="inlineStr">
        <is>
          <t>Date</t>
        </is>
      </c>
      <c r="B4" s="64" t="inlineStr">
        <is>
          <t>Day</t>
        </is>
      </c>
      <c r="C4" s="64" t="inlineStr">
        <is>
          <t>Phase</t>
        </is>
      </c>
      <c r="D4" s="64" t="inlineStr">
        <is>
          <t>AI assignment (AI does this)</t>
        </is>
      </c>
      <c r="E4" s="64" t="inlineStr">
        <is>
          <t>Also close today (AI does this)</t>
        </is>
      </c>
      <c r="F4" s="64" t="inlineStr">
        <is>
          <t>Your task (guided, one step at a time)</t>
        </is>
      </c>
      <c r="G4" s="64" t="inlineStr">
        <is>
          <t>Your time cap</t>
        </is>
      </c>
      <c r="H4" s="64" t="inlineStr">
        <is>
          <t>Extra owner items today (Owner Overflow)</t>
        </is>
      </c>
      <c r="I4" s="64" t="inlineStr">
        <is>
          <t>Spare owner minutes</t>
        </is>
      </c>
      <c r="J4" s="64" t="inlineStr">
        <is>
          <t>Hard gate?</t>
        </is>
      </c>
      <c r="K4" s="64" t="inlineStr">
        <is>
          <t>Status</t>
        </is>
      </c>
      <c r="L4" s="64" t="inlineStr">
        <is>
          <t>Notes / evidence</t>
        </is>
      </c>
      <c r="M4" s="64" t="inlineStr">
        <is>
          <t>From original plan date</t>
        </is>
      </c>
      <c r="O4" s="49" t="inlineStr">
        <is>
          <t>Done</t>
        </is>
      </c>
      <c r="P4" s="49">
        <f>COUNTIF(K5:K37,"Done")</f>
        <v/>
      </c>
    </row>
    <row r="5" ht="202.95" customHeight="1" s="50">
      <c r="A5" s="66" t="n">
        <v>46296</v>
      </c>
      <c r="B5" s="65" t="inlineStr">
        <is>
          <t>Thu</t>
        </is>
      </c>
      <c r="C5" s="65" t="inlineStr">
        <is>
          <t>Cloud &amp; security</t>
        </is>
      </c>
      <c r="D5" s="65" t="inlineStr">
        <is>
          <t>Finish the cloud-expiry/inactive-account lifecycle implementation and tests: notices, Export All, grace, archive/delete, and cloud-write shutdown.</t>
        </is>
      </c>
      <c r="E5" s="6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65" t="inlineStr">
        <is>
          <t>Review the customer-visible sequence and approve the exact wording.</t>
        </is>
      </c>
      <c r="G5" s="65" t="inlineStr">
        <is>
          <t>10 min + 75 min</t>
        </is>
      </c>
      <c r="H5" s="65" t="inlineStr">
        <is>
          <t>—</t>
        </is>
      </c>
      <c r="I5" s="65" t="n">
        <v>0</v>
      </c>
      <c r="J5" s="65" t="inlineStr">
        <is>
          <t>Yes</t>
        </is>
      </c>
      <c r="K5" s="65" t="inlineStr">
        <is>
          <t>Done</t>
        </is>
      </c>
      <c r="L5" s="65" t="inlineStr">
        <is>
          <t>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The live end-to-end deletion test (O17) was run early and passed on 2 Oct.</t>
        </is>
      </c>
      <c r="M5" s="65" t="inlineStr">
        <is>
          <t>2026-10-07</t>
        </is>
      </c>
      <c r="O5" s="49" t="inlineStr">
        <is>
          <t>Blocked</t>
        </is>
      </c>
      <c r="P5" s="49">
        <f>COUNTIF(K5:K37,"Blocked")</f>
        <v/>
      </c>
    </row>
    <row r="6" ht="135.8" customHeight="1" s="50">
      <c r="A6" s="66" t="n">
        <v>46297</v>
      </c>
      <c r="B6" s="65" t="inlineStr">
        <is>
          <t>Fri</t>
        </is>
      </c>
      <c r="C6" s="65" t="inlineStr">
        <is>
          <t>Cloud &amp; security</t>
        </is>
      </c>
      <c r="D6" s="65" t="inlineStr">
        <is>
          <t>Run complete ZIP/DOCX/PDF/World Bible ownership and privacy checks, including expiry access and readable output inspection.</t>
        </is>
      </c>
      <c r="E6" s="6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65" t="inlineStr">
        <is>
          <t>Open the generated files and confirm the expected content is present and private data is absent where promised.</t>
        </is>
      </c>
      <c r="G6" s="65" t="inlineStr">
        <is>
          <t>10 min + 90 min</t>
        </is>
      </c>
      <c r="H6" s="65" t="inlineStr">
        <is>
          <t>—</t>
        </is>
      </c>
      <c r="I6" s="65" t="n">
        <v>0</v>
      </c>
      <c r="J6" s="65" t="inlineStr">
        <is>
          <t>Yes</t>
        </is>
      </c>
      <c r="K6" s="65" t="inlineStr">
        <is>
          <t>Done</t>
        </is>
      </c>
      <c r="L6" s="65" t="inlineStr">
        <is>
          <t>Done 2026-10-02. Owner re-checked the new exports (Graphic Novel PDF, D&amp;D Word ZIP, character sheet PDF) on 2 Oct and confirmed they look good. Fixed and merged (PR #247): Graphic Novel PDF has comic pages, panel text and page/panel images; D&amp;D Word export keeps each encounter's full text in the Campaign Sessions file; party character sheet PDF added. Six-project-type export privacy matrix test merged (PR #249). D&amp;D Campaign renamed 5E Campaign in user-facing copy (PR #250).</t>
        </is>
      </c>
      <c r="M6" s="65" t="inlineStr">
        <is>
          <t>2026-10-08</t>
        </is>
      </c>
      <c r="O6" s="49" t="inlineStr">
        <is>
          <t>Progress</t>
        </is>
      </c>
      <c r="P6" s="67">
        <f>IFERROR(P4/P3,0)</f>
        <v/>
      </c>
    </row>
    <row r="7" ht="236.55" customHeight="1" s="50">
      <c r="A7" s="66" t="n">
        <v>46298</v>
      </c>
      <c r="B7" s="65" t="inlineStr">
        <is>
          <t>Sat</t>
        </is>
      </c>
      <c r="C7" s="65" t="inlineStr">
        <is>
          <t>Cloud &amp; security</t>
        </is>
      </c>
      <c r="D7" s="65" t="inlineStr">
        <is>
          <t>Retrieve or document the missing production function definitions, close reproducible database-build gaps, and rerun database checks.</t>
        </is>
      </c>
      <c r="E7" s="6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t>
        </is>
      </c>
      <c r="F7" s="65" t="inlineStr">
        <is>
          <t>Provide guided production access only if needed; review the database continuity result. Also (O17): create the two Free test accounts and run the deletion end-to-end test using the AI's SQL (about 60 min).</t>
        </is>
      </c>
      <c r="G7" s="65" t="inlineStr">
        <is>
          <t>15 min + up to 3 h 45 min</t>
        </is>
      </c>
      <c r="H7" s="65" t="inlineStr">
        <is>
          <t>O03, O16, O17 (all Done)</t>
        </is>
      </c>
      <c r="I7" s="65" t="n">
        <v>75</v>
      </c>
      <c r="J7" s="65" t="inlineStr">
        <is>
          <t>Yes</t>
        </is>
      </c>
      <c r="K7" s="65" t="inlineStr">
        <is>
          <t>Done</t>
        </is>
      </c>
      <c r="L7" s="65" t="inlineStr">
        <is>
          <t>Done 2026-10-03 (owner declared passed; some owner steps owner-attested, not screenshots). Clean replay of all 34 migrations on an empty Postgres with no manual SQL (new CI job) + 7 assertions incl. two-account ID collision refused on 21 tables and zero scene rows after project delete. Duplicate scenes policy removed (migration applied in production). Legacy Supabase Stripe Edge Function copies quarantined; browser-exposed provider-key vars removed from .env.example. Account-deletion gap fixed: 536 orphan scene rows found and deleted by owner. Supabase minimum password length raised 6 to 8 (O02 follow-up). Support@ Gmail send-as set up via Resend (O16; no founders@ send-as by owner decision). Evening: fixed main's red browser CI (support pill covering workspace controls). Also 3 Oct: cross-browser record clobber fixed with per-field merge (#255). npm run qa 151 files / 1,440 tests, 0 lint errors. O03 and O16 Done.</t>
        </is>
      </c>
      <c r="M7" s="65" t="inlineStr">
        <is>
          <t>2026-10-09</t>
        </is>
      </c>
    </row>
    <row r="8" ht="202.95" customHeight="1" s="50">
      <c r="A8" s="66" t="n">
        <v>46299</v>
      </c>
      <c r="B8" s="65" t="inlineStr">
        <is>
          <t>Sun</t>
        </is>
      </c>
      <c r="C8" s="65" t="inlineStr">
        <is>
          <t>Cloud &amp; security</t>
        </is>
      </c>
      <c r="D8" s="65" t="inlineStr">
        <is>
          <t>Run the entire data-safety/auth/export matrix and fix failures in priority order.</t>
        </is>
      </c>
      <c r="E8" s="6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65" t="inlineStr">
        <is>
          <t>Perform the remaining real-account checks in two focused blocks; stop at four hours.</t>
        </is>
      </c>
      <c r="G8" s="65" t="inlineStr">
        <is>
          <t>15 min + up to 3 h 45 min</t>
        </is>
      </c>
      <c r="H8" s="65" t="inlineStr">
        <is>
          <t>O04, O05 (both Done 4 Oct)</t>
        </is>
      </c>
      <c r="I8" s="65" t="n">
        <v>0</v>
      </c>
      <c r="J8" s="65" t="inlineStr">
        <is>
          <t>Yes</t>
        </is>
      </c>
      <c r="K8" s="65" t="inlineStr">
        <is>
          <t>Done</t>
        </is>
      </c>
      <c r="L8" s="65" t="inlineStr">
        <is>
          <t>Done 2026-10-04 (automated matrix green; owner reported all live checks passed that evening, owner-reported not screenshot). Matrix found and fixed 3 real gaps: (1) no server-side storage quota existed - migration 20261004120000 applied in production, upload sanity check passed; (2) browser vault never recovered pre-IndexedDB localStorage data - now a safe one-time migration; (3) save indicator could say Saved while a write was still queued - now counts pending writes. New tests: DB replay 36 migrations / 10 assertions, storage fault injection 14, legacy migration 9, archive identity (six types) 12, rate-limit 6. npm run qa 156 files / 1,492 tests, 0 lint errors; Playwright 46/46 on affected specs. Owner: O04 two-tab re-test PASSED, O05 feedback rate-limit PASSED, fresh-browser tours do not reappear. Also done 4 Oct (not in the original plan): manuscript editor data-safety audit (mode-switch drafts flush before remount; DOCX import merge/replace choice with protected drafts; delete warns about manuscript words lost) - full gate 160 files / 1,545 tests; DOCX import now preserves italics; Help Centre articles drafted (P0 launch, P1 launch, P2 advanced; 89 files). Pulled forward from 5-7 Oct: gate evidence summaries and desktop entitlement/device-cap/vault-privacy code (see those rows).</t>
        </is>
      </c>
      <c r="M8" s="65" t="inlineStr">
        <is>
          <t>2026-10-10</t>
        </is>
      </c>
    </row>
    <row r="9" ht="35.05" customHeight="1" s="50">
      <c r="A9" s="66" t="n">
        <v>46300</v>
      </c>
      <c r="B9" s="65" t="inlineStr">
        <is>
          <t>Mon</t>
        </is>
      </c>
      <c r="C9" s="65" t="inlineStr">
        <is>
          <t>Cloud &amp; security</t>
        </is>
      </c>
      <c r="D9" s="65" t="inlineStr">
        <is>
          <t>Use the day as the hard-gate repair buffer, rerun the whole matrix, and produce a signed-off evidence summary.</t>
        </is>
      </c>
      <c r="E9" s="65" t="inlineStr">
        <is>
          <t>1. Data safety gate and Export ownership gate: write each gate's evidence summary; move a gate to Passed only with evidence, otherwise list the exact remaining blocker</t>
        </is>
      </c>
      <c r="F9" s="65" t="inlineStr">
        <is>
          <t>Review the summary. Mark the gate Done only if no data-loss/auth/export blocker remains.</t>
        </is>
      </c>
      <c r="G9" s="65" t="inlineStr">
        <is>
          <t>10 min + 110 min</t>
        </is>
      </c>
      <c r="H9" s="65" t="inlineStr">
        <is>
          <t>O04, O05 (both Done 4 Oct)</t>
        </is>
      </c>
      <c r="I9" s="65" t="n">
        <v>20</v>
      </c>
      <c r="J9" s="65" t="inlineStr">
        <is>
          <t>Yes</t>
        </is>
      </c>
      <c r="K9" s="65" t="inlineStr">
        <is>
          <t>In progress</t>
        </is>
      </c>
      <c r="L9" s="65" t="inlineStr">
        <is>
          <t>AI side done; owner sign-off outstanding. Data safety and Export ownership gate evidence summaries written 4 Oct (pulled forward at owner request; docs/QA_PLAN.md '2026-10-05 gate evidence summaries'); no known blocker, so both gates read 'Ready for owner sign-off' and move to Passed on your confirmation. O04 and O05 already Done (owner-reported 4 Oct). Security live checks done 5 Oct (original-plan work): headers, AI token rejection, durable AI logging and both form rate limits passed, no secrets in logs; email CORS fixes deployed with owner approval (reset v66, welcome v88, re-engagement v7), YOW origin allowed and attacker origin denied; security tests 74/74. Unplanned payment work done 5 Oct (scheduled 21-23 Oct, recorded there): simplified pricing to Free / Monthly GBP 10 / Lifetime, numbered Founder status (first 100 at GBP 50), private Stripe test checkout page, scheduled-cancellation display. To close this row: read the gate summaries and mark both gates Passed (or name the blocker).</t>
        </is>
      </c>
      <c r="M9" s="65" t="inlineStr">
        <is>
          <t>2026-10-11</t>
        </is>
      </c>
    </row>
    <row r="10" ht="124.6" customHeight="1" s="50">
      <c r="A10" s="66" t="n">
        <v>46301</v>
      </c>
      <c r="B10" s="65" t="inlineStr">
        <is>
          <t>Tue</t>
        </is>
      </c>
      <c r="C10" s="65" t="inlineStr">
        <is>
          <t>Desktop</t>
        </is>
      </c>
      <c r="D10" s="65" t="inlineStr">
        <is>
          <t>Implement/finish the full signed-in Tauri project workspace and run desktop unit/Rust/build checks.</t>
        </is>
      </c>
      <c r="E10" s="65" t="inlineStr">
        <is>
          <t>1. Desktop entitlement matrix: Free and Monthly are rejected; Lifetime and eligible Beta behaviour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Full Lifetime desktop workspace and device list work; Free and Monthly cannot download or activate the desktop app</t>
        </is>
      </c>
      <c r="F10" s="65" t="inlineStr">
        <is>
          <t>Open the Mac test build with a Lifetime test account and verify login, library, project navigation, and writing.</t>
        </is>
      </c>
      <c r="G10" s="65" t="inlineStr">
        <is>
          <t>10 min + 100 min</t>
        </is>
      </c>
      <c r="H10" s="65" t="inlineStr">
        <is>
          <t>—</t>
        </is>
      </c>
      <c r="I10" s="65" t="n">
        <v>0</v>
      </c>
      <c r="J10" s="65" t="inlineStr">
        <is>
          <t>Yes</t>
        </is>
      </c>
      <c r="K10" s="65" t="inlineStr">
        <is>
          <t>In progress</t>
        </is>
      </c>
      <c r="L10" s="65" t="inlineStr">
        <is>
          <t>Partial evidence. 4 Oct (pulled forward): desktop entitlement matrix (23 tests: Free and Monthly rejected, Lifetime/eligible Beta cannot be changed by editing cache/localStorage/user metadata), cached-licence validation, atomic device cap in the database (migration 20261004130000, replay check 11, API tests), over-cap cache clear; Rust cargo test 29/29 in cloud session. 5 Oct: Monthly desktop access removed from membership, pricing, downloads, cached entitlement and the server device API; full Vitest 162 files / 1,563 tests, zero lint errors, build passes. Still open: platform-native commands, native/webview checks, packaged Mac/Windows and real-device Lifetime workspace checks (your Mac step).</t>
        </is>
      </c>
      <c r="M10" s="65" t="inlineStr">
        <is>
          <t>2026-10-12</t>
        </is>
      </c>
    </row>
    <row r="11" ht="79.84999999999999" customHeight="1" s="50">
      <c r="A11" s="66" t="n">
        <v>46302</v>
      </c>
      <c r="B11" s="65" t="inlineStr">
        <is>
          <t>Wed</t>
        </is>
      </c>
      <c r="C11" s="65" t="inlineStr">
        <is>
          <t>Desktop</t>
        </is>
      </c>
      <c r="D11" s="65" t="inlineStr">
        <is>
          <t>Stress the desktop vault: write-behind durability, quit/force-quit, snapshot, restore, relocation, integrity, and disk-error handling.</t>
        </is>
      </c>
      <c r="E11" s="6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65" t="inlineStr">
        <is>
          <t>Run the guided vault persistence and restore test with an isolated test vault.</t>
        </is>
      </c>
      <c r="G11" s="65" t="inlineStr">
        <is>
          <t>10 min + 100 min</t>
        </is>
      </c>
      <c r="H11" s="65" t="inlineStr">
        <is>
          <t>—</t>
        </is>
      </c>
      <c r="I11" s="65" t="n">
        <v>0</v>
      </c>
      <c r="J11" s="65" t="inlineStr">
        <is>
          <t>Yes</t>
        </is>
      </c>
      <c r="K11" s="65" t="inlineStr">
        <is>
          <t>In progress</t>
        </is>
      </c>
      <c r="L11" s="65" t="inlineStr">
        <is>
          <t>Code half done 4 Oct (pulled forward): vault privacy audit - secrets never use the vault backend (static test), desktop vault refuses credential-like keys at write time, shared predicate, D3 disclosure confirmed in Privacy and FAQ. Still needs the real Mac run: relocation, snapshot restore, force-quit durability, cloud-sync status UI.</t>
        </is>
      </c>
      <c r="M11" s="65" t="inlineStr">
        <is>
          <t>2026-10-13</t>
        </is>
      </c>
    </row>
    <row r="12" ht="23.85" customHeight="1" s="50">
      <c r="A12" s="66" t="n">
        <v>46303</v>
      </c>
      <c r="B12" s="65" t="inlineStr">
        <is>
          <t>Thu</t>
        </is>
      </c>
      <c r="C12" s="65" t="inlineStr">
        <is>
          <t>Desktop</t>
        </is>
      </c>
      <c r="D12" s="65" t="inlineStr">
        <is>
          <t>Verify and repair native ZIP/DOCX/PDF/PNG save dialogs and file contents in packaged desktop builds.</t>
        </is>
      </c>
      <c r="E12" s="65" t="inlineStr">
        <is>
          <t>1. Map PNG export and rendered exports from the packaged desktop build (alongside ZIP/DOCX/PDF save dialogs)</t>
        </is>
      </c>
      <c r="F12" s="65" t="inlineStr">
        <is>
          <t>Save and open each format from the packaged Mac app.</t>
        </is>
      </c>
      <c r="G12" s="65" t="inlineStr">
        <is>
          <t>10 min + 90 min</t>
        </is>
      </c>
      <c r="H12" s="65" t="inlineStr">
        <is>
          <t>—</t>
        </is>
      </c>
      <c r="I12" s="65" t="n">
        <v>0</v>
      </c>
      <c r="J12" s="65" t="inlineStr">
        <is>
          <t>Yes</t>
        </is>
      </c>
      <c r="K12" s="65" t="inlineStr">
        <is>
          <t>Not started</t>
        </is>
      </c>
      <c r="L12" s="65" t="n"/>
      <c r="M12" s="65" t="inlineStr">
        <is>
          <t>2026-10-14</t>
        </is>
      </c>
    </row>
    <row r="13" ht="46.25" customHeight="1" s="50">
      <c r="A13" s="66" t="n">
        <v>46304</v>
      </c>
      <c r="B13" s="65" t="inlineStr">
        <is>
          <t>Fri</t>
        </is>
      </c>
      <c r="C13" s="65" t="inlineStr">
        <is>
          <t>Desktop</t>
        </is>
      </c>
      <c r="D13" s="65" t="inlineStr">
        <is>
          <t>Finish Local Mode/lapse/renewal merge logic, cold-start retry, conflict surfacing, and no-cloud-write verification.</t>
        </is>
      </c>
      <c r="E13" s="65" t="inlineStr">
        <is>
          <t>1. Cloud sync fully removed on lapse; automatic resume on renewal; Storage tab shows only 'Cloud sync unavailable' + renew CTA
2. Renewal checkout (GBP 6 hosting) path from desktop: web cloud-required behaviour, entitlement metadata</t>
        </is>
      </c>
      <c r="F13" s="65" t="inlineStr">
        <is>
          <t>Run the guided lapse → web edit → renewal → desktop merge scenario.</t>
        </is>
      </c>
      <c r="G13" s="65" t="inlineStr">
        <is>
          <t>10 min + 100 min</t>
        </is>
      </c>
      <c r="H13" s="65" t="inlineStr">
        <is>
          <t>—</t>
        </is>
      </c>
      <c r="I13" s="65" t="n">
        <v>0</v>
      </c>
      <c r="J13" s="65" t="inlineStr">
        <is>
          <t>Yes</t>
        </is>
      </c>
      <c r="K13" s="65" t="inlineStr">
        <is>
          <t>Not started</t>
        </is>
      </c>
      <c r="L13" s="65" t="n"/>
      <c r="M13" s="65" t="inlineStr">
        <is>
          <t>2026-10-15</t>
        </is>
      </c>
    </row>
    <row r="14" ht="46.25" customHeight="1" s="50">
      <c r="A14" s="66" t="n">
        <v>46305</v>
      </c>
      <c r="B14" s="65" t="inlineStr">
        <is>
          <t>Sat</t>
        </is>
      </c>
      <c r="C14" s="65" t="inlineStr">
        <is>
          <t>Desktop</t>
        </is>
      </c>
      <c r="D14" s="65" t="inlineStr">
        <is>
          <t>Finalise updater manifests, download entitlement gating, installer URLs, hashes, provenance, and unsigned-app instructions.</t>
        </is>
      </c>
      <c r="E14" s="6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65" t="inlineStr">
        <is>
          <t>Review the download page and Mac instructions as a customer.</t>
        </is>
      </c>
      <c r="G14" s="65" t="inlineStr">
        <is>
          <t>15 min + up to 3 h 45 min</t>
        </is>
      </c>
      <c r="H14" s="65" t="inlineStr">
        <is>
          <t>O08, O09</t>
        </is>
      </c>
      <c r="I14" s="65" t="n">
        <v>85</v>
      </c>
      <c r="J14" s="65" t="inlineStr">
        <is>
          <t>Yes</t>
        </is>
      </c>
      <c r="K14" s="65" t="inlineStr">
        <is>
          <t>Not started</t>
        </is>
      </c>
      <c r="L14" s="65" t="n"/>
      <c r="M14" s="65" t="inlineStr">
        <is>
          <t>2026-10-16</t>
        </is>
      </c>
    </row>
    <row r="15" ht="35.05" customHeight="1" s="50">
      <c r="A15" s="66" t="n">
        <v>46306</v>
      </c>
      <c r="B15" s="65" t="inlineStr">
        <is>
          <t>Sun</t>
        </is>
      </c>
      <c r="C15" s="65" t="inlineStr">
        <is>
          <t>Desktop</t>
        </is>
      </c>
      <c r="D15" s="65" t="inlineStr">
        <is>
          <t>Produce and inspect the final Mac candidate; drive clean-machine install, workspace, export, restore, updater, and uninstall acceptance.</t>
        </is>
      </c>
      <c r="E15" s="65" t="inlineStr">
        <is>
          <t>1. Clean-machine Mac: Gatekeeper bypass steps as a customer, install, update from previous release, uninstall leaves vault intact</t>
        </is>
      </c>
      <c r="F15" s="65" t="inlineStr">
        <is>
          <t>Complete the clean/test Mac checklist in two blocks.</t>
        </is>
      </c>
      <c r="G15" s="65" t="inlineStr">
        <is>
          <t>15 min + up to 3 h 45 min</t>
        </is>
      </c>
      <c r="H15" s="65" t="inlineStr">
        <is>
          <t>—</t>
        </is>
      </c>
      <c r="I15" s="65" t="n">
        <v>0</v>
      </c>
      <c r="J15" s="65" t="inlineStr">
        <is>
          <t>Yes</t>
        </is>
      </c>
      <c r="K15" s="65" t="inlineStr">
        <is>
          <t>Not started</t>
        </is>
      </c>
      <c r="L15" s="65" t="n"/>
      <c r="M15" s="65" t="inlineStr">
        <is>
          <t>2026-10-17</t>
        </is>
      </c>
    </row>
    <row r="16" ht="68.65000000000001" customHeight="1" s="50">
      <c r="A16" s="66" t="n">
        <v>46307</v>
      </c>
      <c r="B16" s="65" t="inlineStr">
        <is>
          <t>Mon</t>
        </is>
      </c>
      <c r="C16" s="65" t="inlineStr">
        <is>
          <t>Product acceptance</t>
        </is>
      </c>
      <c r="D16" s="65" t="inlineStr">
        <is>
          <t>Run and repair complete Novella and Short Story workflow, defaults, persistence, and export acceptance.</t>
        </is>
      </c>
      <c r="E16" s="6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65" t="inlineStr">
        <is>
          <t>Perform the two guided create → write → export journeys.</t>
        </is>
      </c>
      <c r="G16" s="65" t="inlineStr">
        <is>
          <t>10 min + 100 min</t>
        </is>
      </c>
      <c r="H16" s="65" t="inlineStr">
        <is>
          <t>—</t>
        </is>
      </c>
      <c r="I16" s="65" t="n">
        <v>0</v>
      </c>
      <c r="J16" s="65" t="inlineStr">
        <is>
          <t>Yes</t>
        </is>
      </c>
      <c r="K16" s="65" t="inlineStr">
        <is>
          <t>Not started</t>
        </is>
      </c>
      <c r="L16" s="65" t="n"/>
      <c r="M16" s="65" t="inlineStr">
        <is>
          <t>2026-10-19</t>
        </is>
      </c>
    </row>
    <row r="17" ht="46.25" customHeight="1" s="50">
      <c r="A17" s="66" t="n">
        <v>46308</v>
      </c>
      <c r="B17" s="65" t="inlineStr">
        <is>
          <t>Tue</t>
        </is>
      </c>
      <c r="C17" s="65" t="inlineStr">
        <is>
          <t>Product acceptance</t>
        </is>
      </c>
      <c r="D17" s="65" t="inlineStr">
        <is>
          <t>Run and repair complete D&amp;D and TTRPG prep/recap, Character Builder, map/default, AI-context, and export acceptance.</t>
        </is>
      </c>
      <c r="E17" s="65" t="inlineStr">
        <is>
          <t>1. D&amp;D/TTRPG project-type-aware AI behaviour (DM-side vs GM-side framing): prepare the guided checks; owner runs them with their own AI key on 19 Oct
2. Session prep/recap persistence, default-section visibility and export for both campaign types</t>
        </is>
      </c>
      <c r="F17" s="65" t="inlineStr">
        <is>
          <t>Perform the two guided campaign journeys using disposable campaigns.</t>
        </is>
      </c>
      <c r="G17" s="65" t="inlineStr">
        <is>
          <t>10 min + 100 min</t>
        </is>
      </c>
      <c r="H17" s="65" t="inlineStr">
        <is>
          <t>—</t>
        </is>
      </c>
      <c r="I17" s="65" t="n">
        <v>0</v>
      </c>
      <c r="J17" s="65" t="inlineStr">
        <is>
          <t>Yes</t>
        </is>
      </c>
      <c r="K17" s="65" t="inlineStr">
        <is>
          <t>Not started</t>
        </is>
      </c>
      <c r="L17" s="65" t="n"/>
      <c r="M17" s="65" t="inlineStr">
        <is>
          <t>2026-10-20</t>
        </is>
      </c>
    </row>
    <row r="18" ht="68.65000000000001" customHeight="1" s="50">
      <c r="A18" s="66" t="n">
        <v>46309</v>
      </c>
      <c r="B18" s="65" t="inlineStr">
        <is>
          <t>Wed</t>
        </is>
      </c>
      <c r="C18" s="65" t="inlineStr">
        <is>
          <t>Product acceptance</t>
        </is>
      </c>
      <c r="D18" s="65" t="inlineStr">
        <is>
          <t>Run and repair Novel and Comic live-cloud, large-project, and complete export acceptance.</t>
        </is>
      </c>
      <c r="E18" s="6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65" t="inlineStr">
        <is>
          <t>Perform the guided Novel and Comic journeys.</t>
        </is>
      </c>
      <c r="G18" s="65" t="inlineStr">
        <is>
          <t>10 min + 100 min</t>
        </is>
      </c>
      <c r="H18" s="65" t="inlineStr">
        <is>
          <t>—</t>
        </is>
      </c>
      <c r="I18" s="65" t="n">
        <v>0</v>
      </c>
      <c r="J18" s="65" t="inlineStr">
        <is>
          <t>Yes</t>
        </is>
      </c>
      <c r="K18" s="65" t="inlineStr">
        <is>
          <t>Not started</t>
        </is>
      </c>
      <c r="L18" s="65" t="n"/>
      <c r="M18" s="65" t="inlineStr">
        <is>
          <t>2026-10-21</t>
        </is>
      </c>
    </row>
    <row r="19" ht="23.85" customHeight="1" s="50">
      <c r="A19" s="66" t="n">
        <v>46310</v>
      </c>
      <c r="B19" s="65" t="inlineStr">
        <is>
          <t>Thu</t>
        </is>
      </c>
      <c r="C19" s="65" t="inlineStr">
        <is>
          <t>Product acceptance</t>
        </is>
      </c>
      <c r="D19" s="65" t="inlineStr">
        <is>
          <t>Run the full Map Builder owner checklist and repair interaction, layer, persistence, responsive, and export defects.</t>
        </is>
      </c>
      <c r="E19" s="65" t="inlineStr">
        <is>
          <t>1. Reliable map builder acceptance: persistence, grid overlay, JSON import/export, restore from ZIP, high-res PNG, undo/redo, all four map types</t>
        </is>
      </c>
      <c r="F19" s="65" t="inlineStr">
        <is>
          <t>Complete the guided map workflow and inspect its exports.</t>
        </is>
      </c>
      <c r="G19" s="65" t="inlineStr">
        <is>
          <t>10 min + 100 min</t>
        </is>
      </c>
      <c r="H19" s="65" t="inlineStr">
        <is>
          <t>—</t>
        </is>
      </c>
      <c r="I19" s="65" t="n">
        <v>0</v>
      </c>
      <c r="J19" s="65" t="inlineStr">
        <is>
          <t>Yes</t>
        </is>
      </c>
      <c r="K19" s="65" t="inlineStr">
        <is>
          <t>Not started</t>
        </is>
      </c>
      <c r="L19" s="65" t="n"/>
      <c r="M19" s="65" t="inlineStr">
        <is>
          <t>2026-10-22</t>
        </is>
      </c>
    </row>
    <row r="20" ht="113.4" customHeight="1" s="50">
      <c r="A20" s="66" t="n">
        <v>46311</v>
      </c>
      <c r="B20" s="65" t="inlineStr">
        <is>
          <t>Fri</t>
        </is>
      </c>
      <c r="C20" s="65" t="inlineStr">
        <is>
          <t>Product acceptance</t>
        </is>
      </c>
      <c r="D20" s="65" t="inlineStr">
        <is>
          <t>Consolidate remaining Characters, Locations, Lore, Timeline/History, Family/Factions, Series, Schedule, Focused Writing, and AI Import checks.</t>
        </is>
      </c>
      <c r="E20" s="6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65" t="inlineStr">
        <is>
          <t>Work through the short owner verification packet; flag only reproducible failures.</t>
        </is>
      </c>
      <c r="G20" s="65" t="inlineStr">
        <is>
          <t>10 min + 100 min</t>
        </is>
      </c>
      <c r="H20" s="65" t="inlineStr">
        <is>
          <t>—</t>
        </is>
      </c>
      <c r="I20" s="65" t="n">
        <v>0</v>
      </c>
      <c r="J20" s="65" t="inlineStr">
        <is>
          <t>Yes</t>
        </is>
      </c>
      <c r="K20" s="65" t="inlineStr">
        <is>
          <t>Not started</t>
        </is>
      </c>
      <c r="L20" s="65" t="n"/>
      <c r="M20" s="65" t="inlineStr">
        <is>
          <t>2026-10-23</t>
        </is>
      </c>
    </row>
    <row r="21" ht="35.05" customHeight="1" s="50">
      <c r="A21" s="66" t="n">
        <v>46312</v>
      </c>
      <c r="B21" s="65" t="inlineStr">
        <is>
          <t>Sat</t>
        </is>
      </c>
      <c r="C21" s="65" t="inlineStr">
        <is>
          <t>Desktop</t>
        </is>
      </c>
      <c r="D21" s="65" t="inlineStr">
        <is>
          <t>Produce the Windows candidate in CI and drive Windows clean-machine/WebView2/install/export/updater/uninstall acceptance; close the Desktop Gate.</t>
        </is>
      </c>
      <c r="E21" s="65" t="inlineStr">
        <is>
          <t>1. Windows: SmartScreen bypass steps, WebView2 install, Explorer reveal, updater, uninstall; close Desktop Gate and the desktop row of the Scope gate</t>
        </is>
      </c>
      <c r="F21" s="65" t="inlineStr">
        <is>
          <t>Complete or coordinate the Windows checklist, then review the combined desktop evidence.</t>
        </is>
      </c>
      <c r="G21" s="65" t="inlineStr">
        <is>
          <t>15 min + up to 3 h 45 min</t>
        </is>
      </c>
      <c r="H21" s="65" t="inlineStr">
        <is>
          <t>—</t>
        </is>
      </c>
      <c r="I21" s="65" t="n">
        <v>0</v>
      </c>
      <c r="J21" s="65" t="inlineStr">
        <is>
          <t>Yes</t>
        </is>
      </c>
      <c r="K21" s="65" t="inlineStr">
        <is>
          <t>Not started</t>
        </is>
      </c>
      <c r="L21" s="65" t="n"/>
      <c r="M21" s="65" t="inlineStr">
        <is>
          <t>2026-10-18</t>
        </is>
      </c>
    </row>
    <row r="22" ht="91" customHeight="1" s="50">
      <c r="A22" s="66" t="n">
        <v>46313</v>
      </c>
      <c r="B22" s="65" t="inlineStr">
        <is>
          <t>Sun</t>
        </is>
      </c>
      <c r="C22" s="65" t="inlineStr">
        <is>
          <t>Product acceptance</t>
        </is>
      </c>
      <c r="D22" s="65" t="inlineStr">
        <is>
          <t>Run realistic large-project performance plus 375/768/desktop, keyboard, focus, contrast, real-iPhone, and theme acceptance; fix blockers.</t>
        </is>
      </c>
      <c r="E22" s="6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65" t="inlineStr">
        <is>
          <t>Complete device/accessibility tests in two focused blocks. (includes O10: Firefox, Safari, VoiceOver.)</t>
        </is>
      </c>
      <c r="G22" s="65" t="inlineStr">
        <is>
          <t>15 min + up to 3 h 45 min</t>
        </is>
      </c>
      <c r="H22" s="65" t="inlineStr">
        <is>
          <t>—</t>
        </is>
      </c>
      <c r="I22" s="65" t="n">
        <v>0</v>
      </c>
      <c r="J22" s="65" t="inlineStr">
        <is>
          <t>Yes</t>
        </is>
      </c>
      <c r="K22" s="65" t="inlineStr">
        <is>
          <t>Not started</t>
        </is>
      </c>
      <c r="L22" s="65" t="n"/>
      <c r="M22" s="65" t="inlineStr">
        <is>
          <t>2026-10-24</t>
        </is>
      </c>
    </row>
    <row r="23" ht="68.65000000000001" customHeight="1" s="50">
      <c r="A23" s="66" t="n">
        <v>46314</v>
      </c>
      <c r="B23" s="65" t="inlineStr">
        <is>
          <t>Mon</t>
        </is>
      </c>
      <c r="C23" s="65" t="inlineStr">
        <is>
          <t>Product acceptance</t>
        </is>
      </c>
      <c r="D23" s="65" t="inlineStr">
        <is>
          <t>Test the two advertised AI providers, OpenRouter and OpenAI, with the owner's own keys: context grounding, errors/retry, secret isolation. Label all other providers 'not tested' in the app.</t>
        </is>
      </c>
      <c r="E23" s="6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65" t="inlineStr">
        <is>
          <t>Supply OpenRouter and OpenAI access without sharing secrets and run the guided provider checks (includes O07 and the D&amp;D/TTRPG AI framing checks).</t>
        </is>
      </c>
      <c r="G23" s="65" t="inlineStr">
        <is>
          <t>10 min + 100 min</t>
        </is>
      </c>
      <c r="H23" s="65" t="inlineStr">
        <is>
          <t>—</t>
        </is>
      </c>
      <c r="I23" s="65" t="n">
        <v>0</v>
      </c>
      <c r="J23" s="65" t="inlineStr">
        <is>
          <t>Yes</t>
        </is>
      </c>
      <c r="K23" s="65" t="inlineStr">
        <is>
          <t>Not started</t>
        </is>
      </c>
      <c r="L23" s="65" t="n"/>
      <c r="M23" s="65" t="inlineStr">
        <is>
          <t>2026-10-25</t>
        </is>
      </c>
    </row>
    <row r="24" ht="57.45" customHeight="1" s="50">
      <c r="A24" s="66" t="n">
        <v>46315</v>
      </c>
      <c r="B24" s="65" t="inlineStr">
        <is>
          <t>Tue</t>
        </is>
      </c>
      <c r="C24" s="65" t="inlineStr">
        <is>
          <t>Product acceptance</t>
        </is>
      </c>
      <c r="D24" s="65" t="inlineStr">
        <is>
          <t>Test AI chat persistence and export, then rerun all six project-type exports.</t>
        </is>
      </c>
      <c r="E24" s="6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65" t="inlineStr">
        <is>
          <t>Complete the Product Gate review.</t>
        </is>
      </c>
      <c r="G24" s="65" t="inlineStr">
        <is>
          <t>10 min + 100 min</t>
        </is>
      </c>
      <c r="H24" s="65" t="inlineStr">
        <is>
          <t>—</t>
        </is>
      </c>
      <c r="I24" s="65" t="n">
        <v>0</v>
      </c>
      <c r="J24" s="65" t="inlineStr">
        <is>
          <t>Yes</t>
        </is>
      </c>
      <c r="K24" s="65" t="inlineStr">
        <is>
          <t>Not started</t>
        </is>
      </c>
      <c r="L24" s="65" t="n"/>
      <c r="M24" s="65" t="inlineStr">
        <is>
          <t>2026-10-25</t>
        </is>
      </c>
    </row>
    <row r="25" ht="135.8" customHeight="1" s="50">
      <c r="A25" s="66" t="n">
        <v>46316</v>
      </c>
      <c r="B25" s="65" t="inlineStr">
        <is>
          <t>Wed</t>
        </is>
      </c>
      <c r="C25" s="65" t="inlineStr">
        <is>
          <t>Payments &amp; release</t>
        </is>
      </c>
      <c r="D25" s="65" t="inlineStr">
        <is>
          <t>Reconcile Pricing, FAQ, Terms, Privacy, cancellation, storage, Local Mode, expiry, Founder, AI, export, SEO, and marketing promises.</t>
        </is>
      </c>
      <c r="E25" s="6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65" t="inlineStr">
        <is>
          <t>Read the plain-English change packet and approve or correct the final customer promises.</t>
        </is>
      </c>
      <c r="G25" s="65" t="inlineStr">
        <is>
          <t>10 min + 100 min</t>
        </is>
      </c>
      <c r="H25" s="65" t="inlineStr">
        <is>
          <t>—</t>
        </is>
      </c>
      <c r="I25" s="65" t="n">
        <v>0</v>
      </c>
      <c r="J25" s="65" t="inlineStr">
        <is>
          <t>Yes</t>
        </is>
      </c>
      <c r="K25" s="65" t="inlineStr">
        <is>
          <t>In progress</t>
        </is>
      </c>
      <c r="L25" s="65" t="inlineStr">
        <is>
          <t>Partial evidence 5 Oct 2026: Pricing, FAQ, Account Settings and Download copy now agree on Free GBP 0, Monthly GBP 10 browser + Cloud only, Founding Lifetime GBP 50 for purchases 1-100 with two Cloud years, Standard Lifetime GBP 75 with one Cloud year, and optional Cloud at GBP 6/year. Broader Terms, Privacy, SEO, AI-provider and marketing-copy reconciliation remains.</t>
        </is>
      </c>
      <c r="M25" s="65" t="inlineStr">
        <is>
          <t>2026-10-26</t>
        </is>
      </c>
    </row>
    <row r="26" ht="135.8" customHeight="1" s="50">
      <c r="A26" s="66" t="n">
        <v>46317</v>
      </c>
      <c r="B26" s="65" t="inlineStr">
        <is>
          <t>Thu</t>
        </is>
      </c>
      <c r="C26" s="65" t="inlineStr">
        <is>
          <t>Payments &amp; release</t>
        </is>
      </c>
      <c r="D26" s="65" t="inlineStr">
        <is>
          <t>Audit Stripe configuration, webhook idempotency, entitlement fulfilment, refunds/disputes, Founder allocation, and the test-mode runbook.</t>
        </is>
      </c>
      <c r="E26" s="65" t="inlineStr">
        <is>
          <t>1. Durable Stripe event ledger: replay every supported event at least 3 times; entitlements, dates, Founder counts and emails change exactly once
2. Price/entitlement matrix (GBP 10 / 50 / 75 / 6) matches Stripe test Price objects and Checkout line items; Founding Lifetime is limited to successful purchases 1-100 and there is no separate Founder product
3. Remove/migrate the temporary paid-interest 'coming soon' flow and its automatic Beta entitlement; real checkout CTAs behind a launch switch
4. Founding Lifetime concurrency: simultaneous checkout holds and successful payments never award more than 100 Founder positions; purchase 101 uses Standard Lifetime automatically
5. Prepare the exact Vercel test-mode secrets swap and return-to-live checklist (names only, never values)</t>
        </is>
      </c>
      <c r="F26" s="65" t="inlineStr">
        <is>
          <t>Open Stripe/Supabase only when guided and confirm the displayed test configuration.</t>
        </is>
      </c>
      <c r="G26" s="65" t="inlineStr">
        <is>
          <t>10 min + 90 min</t>
        </is>
      </c>
      <c r="H26" s="65" t="inlineStr">
        <is>
          <t>—</t>
        </is>
      </c>
      <c r="I26" s="65" t="n">
        <v>0</v>
      </c>
      <c r="J26" s="65" t="inlineStr">
        <is>
          <t>Yes</t>
        </is>
      </c>
      <c r="K26" s="65" t="inlineStr">
        <is>
          <t>In progress</t>
        </is>
      </c>
      <c r="L26" s="65" t="inlineStr">
        <is>
          <t>In progress 5 Oct 2026. Owner configured Stripe test products/prices, test environment variables and the deployed test webhook. The private direct-link billing page is live. Server-side Price validation and the transaction-locked Founder reservation/finalisation design are implemented and automated tests pass. Still open: live-mode final-position concurrency rehearsal, three-times event replay, refund/dispute handling, and final return-to-live review.</t>
        </is>
      </c>
      <c r="M26" s="65" t="inlineStr">
        <is>
          <t>2026-10-27</t>
        </is>
      </c>
    </row>
    <row r="27" ht="135.8" customHeight="1" s="50">
      <c r="A27" s="66" t="n">
        <v>46318</v>
      </c>
      <c r="B27" s="65" t="inlineStr">
        <is>
          <t>Fri</t>
        </is>
      </c>
      <c r="C27" s="65" t="inlineStr">
        <is>
          <t>Payments &amp; release</t>
        </is>
      </c>
      <c r="D27" s="65" t="inlineStr">
        <is>
          <t>Drive the remaining Stripe test-mode journey one step at a time: Monthly, Founding Lifetime, Standard Lifetime, renewal, cancellation/failure, replay, refund, and dispute.</t>
        </is>
      </c>
      <c r="E27" s="65" t="inlineStr">
        <is>
          <t>1. Completed so far: GBP 10 Monthly, GBP 50 Founding Lifetime, GBP 75 Standard Lifetime, scheduled Monthly cancellation display, and Monthly desktop/download/device rejection
2. Still to test: GBP 6 hosting renewal, checkout cancellation/expiration, failed and async payments, out-of-order webhooks, replay, refund and dispute
3. Live-account QA of the 'Downgrade to Free' fix for manually upgraded accounts and confirmation that the real Stripe portal remains unaffected</t>
        </is>
      </c>
      <c r="F27" s="65">
        <f>HYPERLINK("https://www.yourownworld.co.uk/pricing/?billing_test=aa89da09f1e82b6c1645732759eef068409979cec453eefe","Open private billing test page — complete guided test payments and verify app access after each event.")</f>
        <v/>
      </c>
      <c r="G27" s="65" t="inlineStr">
        <is>
          <t>10 min + 110 min</t>
        </is>
      </c>
      <c r="H27" s="65" t="inlineStr">
        <is>
          <t>—</t>
        </is>
      </c>
      <c r="I27" s="65" t="n">
        <v>0</v>
      </c>
      <c r="J27" s="65" t="inlineStr">
        <is>
          <t>Yes</t>
        </is>
      </c>
      <c r="K27" s="65" t="inlineStr">
        <is>
          <t>In progress</t>
        </is>
      </c>
      <c r="L27" s="65" t="inlineStr">
        <is>
          <t>Passed so far, owner-confirmed 5 Oct 2026: test-mode Monthly GBP 10 checkout and browser/Cloud entitlement; Founding Lifetime GBP 50 checkout; Standard Lifetime GBP 75 checkout; Monthly cancellation now reconciles directly with Stripe and shows the cancellation/end date; Monthly has no desktop entitlement. Supporting automated verification: 162 test files / 1,563 tests, zero lint errors, production build, 231-file load check and all 12 API imports. The remaining items in column E keep this row open.</t>
        </is>
      </c>
      <c r="M27" s="65" t="inlineStr">
        <is>
          <t>2026-10-28</t>
        </is>
      </c>
    </row>
    <row r="28" ht="79.84999999999999" customHeight="1" s="50">
      <c r="A28" s="66" t="n">
        <v>46319</v>
      </c>
      <c r="B28" s="65" t="inlineStr">
        <is>
          <t>Sat</t>
        </is>
      </c>
      <c r="C28" s="65" t="inlineStr">
        <is>
          <t>Payments &amp; release</t>
        </is>
      </c>
      <c r="D28" s="65" t="inlineStr">
        <is>
          <t>Prepare the reversible Beta-closure/migration operation, final website copy, screenshots, launch post, ads, support replies, and analytics checks without publishing.</t>
        </is>
      </c>
      <c r="E28" s="6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65" t="inlineStr">
        <is>
          <t>Approve the prepared launch assets and Beta transition wording; publish nothing.</t>
        </is>
      </c>
      <c r="G28" s="65" t="inlineStr">
        <is>
          <t>15 min + up to 3 h 45 min</t>
        </is>
      </c>
      <c r="H28" s="65" t="inlineStr">
        <is>
          <t>O11</t>
        </is>
      </c>
      <c r="I28" s="65" t="n">
        <v>125</v>
      </c>
      <c r="J28" s="65" t="inlineStr">
        <is>
          <t>Yes</t>
        </is>
      </c>
      <c r="K28" s="65" t="inlineStr">
        <is>
          <t>Not started</t>
        </is>
      </c>
      <c r="L28" s="65" t="inlineStr">
        <is>
          <t>Early work: Help Centre articles (P0 launch, P1 launch, P2 advanced) drafted 4 Oct in docs/help-centre; still to do: launch post, ads, support replies, screenshots, Beta-closure operation, analytics checks.</t>
        </is>
      </c>
      <c r="M28" s="65" t="inlineStr">
        <is>
          <t>2026-10-29</t>
        </is>
      </c>
    </row>
    <row r="29" ht="35.05" customHeight="1" s="50">
      <c r="A29" s="66" t="n">
        <v>46320</v>
      </c>
      <c r="B29" s="65" t="inlineStr">
        <is>
          <t>Sun</t>
        </is>
      </c>
      <c r="C29" s="65" t="inlineStr">
        <is>
          <t>Buffer</t>
        </is>
      </c>
      <c r="D29" s="65" t="inlineStr">
        <is>
          <t>Buffer and catch-up: repair anything still red from 1-24 Oct, rerun the affected gate checks, update every Launch Readiness Gate row with evidence.</t>
        </is>
      </c>
      <c r="E29" s="65" t="inlineStr">
        <is>
          <t>—</t>
        </is>
      </c>
      <c r="F29" s="65" t="inlineStr">
        <is>
          <t>Do your remaining overflow items (O12, O13); free otherwise. Decision D6 (latest acceptable launch slip) is due today.</t>
        </is>
      </c>
      <c r="G29" s="65" t="inlineStr">
        <is>
          <t>15 min + up to 3 h 45 min</t>
        </is>
      </c>
      <c r="H29" s="65" t="inlineStr">
        <is>
          <t>O12, O13</t>
        </is>
      </c>
      <c r="I29" s="65" t="n">
        <v>185</v>
      </c>
      <c r="J29" s="65" t="inlineStr">
        <is>
          <t>Yes</t>
        </is>
      </c>
      <c r="K29" s="65" t="inlineStr">
        <is>
          <t>Not started</t>
        </is>
      </c>
      <c r="L29" s="65" t="n"/>
      <c r="M29" s="65" t="inlineStr">
        <is>
          <t>new buffer day</t>
        </is>
      </c>
    </row>
    <row r="30" ht="23.85" customHeight="1" s="50">
      <c r="A30" s="66" t="n">
        <v>46321</v>
      </c>
      <c r="B30" s="65" t="inlineStr">
        <is>
          <t>Mon</t>
        </is>
      </c>
      <c r="C30" s="65" t="inlineStr">
        <is>
          <t>Buffer</t>
        </is>
      </c>
      <c r="D30" s="65" t="inlineStr">
        <is>
          <t>Buffer: repair red items; rerun the full automated gate (npm run qa, Playwright, Rust/desktop checks) to surface blockers early.</t>
        </is>
      </c>
      <c r="E30" s="65" t="inlineStr">
        <is>
          <t>—</t>
        </is>
      </c>
      <c r="F30" s="65" t="inlineStr">
        <is>
          <t>Only the verification steps the AI asks for; otherwise free.</t>
        </is>
      </c>
      <c r="G30" s="65" t="inlineStr">
        <is>
          <t>10 min + 110 min</t>
        </is>
      </c>
      <c r="H30" s="65" t="inlineStr">
        <is>
          <t>—</t>
        </is>
      </c>
      <c r="I30" s="65" t="n">
        <v>110</v>
      </c>
      <c r="J30" s="65" t="inlineStr">
        <is>
          <t>Yes</t>
        </is>
      </c>
      <c r="K30" s="65" t="inlineStr">
        <is>
          <t>Not started</t>
        </is>
      </c>
      <c r="L30" s="65" t="n"/>
      <c r="M30" s="65" t="inlineStr">
        <is>
          <t>new buffer day</t>
        </is>
      </c>
    </row>
    <row r="31" ht="23.85" customHeight="1" s="50">
      <c r="A31" s="66" t="n">
        <v>46322</v>
      </c>
      <c r="B31" s="65" t="inlineStr">
        <is>
          <t>Tue</t>
        </is>
      </c>
      <c r="C31" s="65" t="inlineStr">
        <is>
          <t>Buffer</t>
        </is>
      </c>
      <c r="D31" s="65" t="inlineStr">
        <is>
          <t>Buffer: repair red items; rerun security review (auth, RLS, webhook, secrets) on everything changed since 1 Oct.</t>
        </is>
      </c>
      <c r="E31" s="65" t="inlineStr">
        <is>
          <t>—</t>
        </is>
      </c>
      <c r="F31" s="65" t="inlineStr">
        <is>
          <t>Only the verification steps the AI asks for; otherwise free.</t>
        </is>
      </c>
      <c r="G31" s="65" t="inlineStr">
        <is>
          <t>10 min + 110 min</t>
        </is>
      </c>
      <c r="H31" s="65" t="inlineStr">
        <is>
          <t>—</t>
        </is>
      </c>
      <c r="I31" s="65" t="n">
        <v>110</v>
      </c>
      <c r="J31" s="65" t="inlineStr">
        <is>
          <t>Yes</t>
        </is>
      </c>
      <c r="K31" s="65" t="inlineStr">
        <is>
          <t>Not started</t>
        </is>
      </c>
      <c r="L31" s="65" t="n"/>
      <c r="M31" s="65" t="inlineStr">
        <is>
          <t>new buffer day</t>
        </is>
      </c>
    </row>
    <row r="32" ht="23.85" customHeight="1" s="50">
      <c r="A32" s="66" t="n">
        <v>46323</v>
      </c>
      <c r="B32" s="65" t="inlineStr">
        <is>
          <t>Wed</t>
        </is>
      </c>
      <c r="C32" s="65" t="inlineStr">
        <is>
          <t>Buffer</t>
        </is>
      </c>
      <c r="D32" s="65" t="inlineStr">
        <is>
          <t>Buffer: rerun the complete data-safety/auth/export matrix against the latest build; fix failures in priority order.</t>
        </is>
      </c>
      <c r="E32" s="65" t="inlineStr">
        <is>
          <t>—</t>
        </is>
      </c>
      <c r="F32" s="65" t="inlineStr">
        <is>
          <t>Only the verification steps the AI asks for; otherwise free.</t>
        </is>
      </c>
      <c r="G32" s="65" t="inlineStr">
        <is>
          <t>10 min + 110 min</t>
        </is>
      </c>
      <c r="H32" s="65" t="inlineStr">
        <is>
          <t>—</t>
        </is>
      </c>
      <c r="I32" s="65" t="n">
        <v>110</v>
      </c>
      <c r="J32" s="65" t="inlineStr">
        <is>
          <t>Yes</t>
        </is>
      </c>
      <c r="K32" s="65" t="inlineStr">
        <is>
          <t>Not started</t>
        </is>
      </c>
      <c r="L32" s="65" t="n"/>
      <c r="M32" s="65" t="inlineStr">
        <is>
          <t>new buffer day</t>
        </is>
      </c>
    </row>
    <row r="33" ht="35.05" customHeight="1" s="50">
      <c r="A33" s="66" t="n">
        <v>46324</v>
      </c>
      <c r="B33" s="65" t="inlineStr">
        <is>
          <t>Thu</t>
        </is>
      </c>
      <c r="C33" s="65" t="inlineStr">
        <is>
          <t>Buffer</t>
        </is>
      </c>
      <c r="D33" s="65" t="inlineStr">
        <is>
          <t>Pre-freeze: review every gate. If all are green, draft the go/no-go packet; if not, list the exact blockers and a repair plan for 30 Oct.</t>
        </is>
      </c>
      <c r="E33" s="65" t="inlineStr">
        <is>
          <t>—</t>
        </is>
      </c>
      <c r="F33" s="65" t="inlineStr">
        <is>
          <t>Read the gate summary and confirm you are ready to freeze on 30 Oct.</t>
        </is>
      </c>
      <c r="G33" s="65" t="inlineStr">
        <is>
          <t>10 min + 110 min</t>
        </is>
      </c>
      <c r="H33" s="65" t="inlineStr">
        <is>
          <t>—</t>
        </is>
      </c>
      <c r="I33" s="65" t="n">
        <v>110</v>
      </c>
      <c r="J33" s="65" t="inlineStr">
        <is>
          <t>Yes</t>
        </is>
      </c>
      <c r="K33" s="65" t="inlineStr">
        <is>
          <t>Not started</t>
        </is>
      </c>
      <c r="L33" s="65" t="n"/>
      <c r="M33" s="65" t="inlineStr">
        <is>
          <t>new buffer day</t>
        </is>
      </c>
    </row>
    <row r="34" ht="35.05" customHeight="1" s="50">
      <c r="A34" s="66" t="n">
        <v>46325</v>
      </c>
      <c r="B34" s="65" t="inlineStr">
        <is>
          <t>Fri</t>
        </is>
      </c>
      <c r="C34" s="65" t="inlineStr">
        <is>
          <t>Payments &amp; release</t>
        </is>
      </c>
      <c r="D34" s="65" t="inlineStr">
        <is>
          <t>Freeze Release Candidate 1; run full automated/browser/Rust/build/security/marketing checks and produce the final go/no-go packet.</t>
        </is>
      </c>
      <c r="E34" s="65" t="inlineStr">
        <is>
          <t>1. Final Launch Readiness Gate table update: every gate Passed with evidence or an explicit re-decision; production-deploy checks queued for 1 Nov</t>
        </is>
      </c>
      <c r="F34" s="65" t="inlineStr">
        <is>
          <t>Perform one 60-minute customer smoke test and make the formal go/no-go decision.</t>
        </is>
      </c>
      <c r="G34" s="65" t="inlineStr">
        <is>
          <t>10 min + 105 min</t>
        </is>
      </c>
      <c r="H34" s="65" t="inlineStr">
        <is>
          <t>—</t>
        </is>
      </c>
      <c r="I34" s="65" t="n">
        <v>0</v>
      </c>
      <c r="J34" s="65" t="inlineStr">
        <is>
          <t>Yes</t>
        </is>
      </c>
      <c r="K34" s="65" t="inlineStr">
        <is>
          <t>Not started</t>
        </is>
      </c>
      <c r="L34" s="65" t="n"/>
      <c r="M34" s="65" t="inlineStr">
        <is>
          <t>2026-10-30</t>
        </is>
      </c>
    </row>
    <row r="35" ht="35.05" customHeight="1" s="50">
      <c r="A35" s="66" t="n">
        <v>46326</v>
      </c>
      <c r="B35" s="65" t="inlineStr">
        <is>
          <t>Sat</t>
        </is>
      </c>
      <c r="C35" s="65" t="inlineStr">
        <is>
          <t>Payments &amp; release</t>
        </is>
      </c>
      <c r="D35" s="65" t="inlineStr">
        <is>
          <t>Repair only launch blockers, rerun the full gate, take backups, verify rollback/checkout-disable/support procedures, and rehearse the exact production release.</t>
        </is>
      </c>
      <c r="E35" s="65" t="inlineStr">
        <is>
          <t>1. Supabase and project backups taken and restore-tested; checkout-disable switch and rollback tested on the rehearsal</t>
        </is>
      </c>
      <c r="F35" s="65" t="inlineStr">
        <is>
          <t>Complete the full launch rehearsal in two blocks; checkout remains off.</t>
        </is>
      </c>
      <c r="G35" s="65" t="inlineStr">
        <is>
          <t>15 min + up to 3 h 45 min</t>
        </is>
      </c>
      <c r="H35" s="65" t="inlineStr">
        <is>
          <t>—</t>
        </is>
      </c>
      <c r="I35" s="65" t="n">
        <v>0</v>
      </c>
      <c r="J35" s="65" t="inlineStr">
        <is>
          <t>Yes</t>
        </is>
      </c>
      <c r="K35" s="65" t="inlineStr">
        <is>
          <t>Not started</t>
        </is>
      </c>
      <c r="L35" s="65" t="n"/>
      <c r="M35" s="65" t="inlineStr">
        <is>
          <t>2026-10-31</t>
        </is>
      </c>
    </row>
    <row r="36" ht="35.05" customHeight="1" s="50">
      <c r="A36" s="66" t="n">
        <v>46327</v>
      </c>
      <c r="B36" s="65" t="inlineStr">
        <is>
          <t>Sun</t>
        </is>
      </c>
      <c r="C36" s="65" t="inlineStr">
        <is>
          <t>Quiet release</t>
        </is>
      </c>
      <c r="D36" s="65" t="inlineStr">
        <is>
          <t>If every hard gate is green: take final backups, deploy the approved release, close public Beta enrollment, preserve existing testers, enable checkout quietly, and monitor.</t>
        </is>
      </c>
      <c r="E36" s="65" t="inlineStr">
        <is>
          <t>1. Post-deploy production checks: security headers, canonical redirect, Founder slot display, checkout, entitlement, save/export</t>
        </is>
      </c>
      <c r="F36" s="65" t="inlineStr">
        <is>
          <t>Complete one real purchase, verify entitlement/save/export/refund-support paths, and keep rollback ready. No advertising today.</t>
        </is>
      </c>
      <c r="G36" s="65" t="inlineStr">
        <is>
          <t>15 min + up to 3 h 45 min</t>
        </is>
      </c>
      <c r="H36" s="65" t="inlineStr">
        <is>
          <t>O15</t>
        </is>
      </c>
      <c r="I36" s="65" t="n">
        <v>0</v>
      </c>
      <c r="J36" s="65" t="inlineStr">
        <is>
          <t>Yes</t>
        </is>
      </c>
      <c r="K36" s="65" t="inlineStr">
        <is>
          <t>Not started</t>
        </is>
      </c>
      <c r="L36" s="65" t="n"/>
      <c r="M36" s="65" t="inlineStr">
        <is>
          <t>2026-11-01</t>
        </is>
      </c>
    </row>
    <row r="37" ht="35.05" customHeight="1" s="50">
      <c r="A37" s="66" t="n">
        <v>46328</v>
      </c>
      <c r="B37" s="65" t="inlineStr">
        <is>
          <t>Mon</t>
        </is>
      </c>
      <c r="C37" s="65" t="inlineStr">
        <is>
          <t>Public launch</t>
        </is>
      </c>
      <c r="D37" s="65" t="inlineStr">
        <is>
          <t>Recheck overnight errors, payments, entitlements, email, analytics, and support; fix only launch blockers, then publish approved marketing.</t>
        </is>
      </c>
      <c r="E37" s="65" t="inlineStr">
        <is>
          <t>1. Search Console/analytics/support monitoring active; approved marketing prepared for the owner to publish</t>
        </is>
      </c>
      <c r="F37" s="65" t="inlineStr">
        <is>
          <t>Review the morning evidence, approve the public announcement/ads, and monitor the first responses that evening.</t>
        </is>
      </c>
      <c r="G37" s="65" t="inlineStr">
        <is>
          <t>10 min + 100 min</t>
        </is>
      </c>
      <c r="H37" s="65" t="inlineStr">
        <is>
          <t>—</t>
        </is>
      </c>
      <c r="I37" s="65" t="n">
        <v>0</v>
      </c>
      <c r="J37" s="65" t="inlineStr">
        <is>
          <t>Yes</t>
        </is>
      </c>
      <c r="K37" s="65" t="inlineStr">
        <is>
          <t>Not started</t>
        </is>
      </c>
      <c r="L37" s="65" t="n"/>
      <c r="M37" s="65" t="inlineStr">
        <is>
          <t>2026-11-02</t>
        </is>
      </c>
    </row>
  </sheetData>
  <dataValidations count="1">
    <dataValidation sqref="K5:K37" showDropDown="0" showInputMessage="0" showErrorMessage="0" allowBlank="1" type="list" errorStyle="stop" operator="between">
      <formula1>"Not started,In progress,Done,Blocked"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2B7A78"/>
    <outlinePr summaryBelow="1" summaryRight="1"/>
    <pageSetUpPr fitToPage="0"/>
  </sheetPr>
  <dimension ref="A2:J46"/>
  <sheetViews>
    <sheetView showFormulas="0" showGridLines="0" showRowColHeaders="1" showZeros="1" rightToLeft="0" tabSelected="0" showOutlineSymbols="1" defaultGridColor="1" view="normal" topLeftCell="A1" colorId="64" zoomScale="100" zoomScaleNormal="100" zoomScalePageLayoutView="100" workbookViewId="0">
      <pane xSplit="3" ySplit="10" topLeftCell="D11" activePane="bottomRight" state="frozen"/>
      <selection pane="topLeft" activeCell="A1" activeCellId="0" sqref="A1"/>
      <selection pane="topRight" activeCell="D1" activeCellId="0" sqref="D1"/>
      <selection pane="bottomLeft" activeCell="A11" activeCellId="0" sqref="A11"/>
      <selection pane="bottomRight" activeCell="A1" activeCellId="0" sqref="A1"/>
    </sheetView>
  </sheetViews>
  <sheetFormatPr baseColWidth="8" defaultColWidth="8.6796875" defaultRowHeight="15" customHeight="0" zeroHeight="0" outlineLevelRow="0"/>
  <cols>
    <col width="14" customWidth="1" style="49" min="1" max="1"/>
    <col width="12" customWidth="1" style="49" min="2" max="2"/>
    <col width="22" customWidth="1" style="49" min="3" max="3"/>
    <col width="82" customWidth="1" style="49" min="4" max="4"/>
    <col width="72" customWidth="1" style="49" min="5" max="5"/>
    <col width="21" customWidth="1" style="49" min="6" max="6"/>
    <col width="44" customWidth="1" style="49" min="7" max="7"/>
    <col width="12" customWidth="1" style="49" min="8" max="8"/>
    <col width="15" customWidth="1" style="49" min="9" max="9"/>
    <col width="34" customWidth="1" style="49" min="10" max="10"/>
  </cols>
  <sheetData>
    <row r="2" ht="19.7" customHeight="1" s="50">
      <c r="A2" s="51" t="inlineStr">
        <is>
          <t>YOW daily guide — 28 September to 2 November 2026</t>
        </is>
      </c>
    </row>
    <row r="3" ht="15" customHeight="1" s="50">
      <c r="A3" s="52" t="inlineStr">
        <is>
          <t>Morning: paste one prompt. Evening/weekend: do only your guided action. Never exceed the time cap. Original Codex plan covers 28 Sep to 5 Oct only; from 1 Oct the 'Plan from 1 Oct' sheet is the live schedule and wins if the two ever differ.</t>
        </is>
      </c>
    </row>
    <row r="5" ht="15" customHeight="1" s="50">
      <c r="A5" s="68" t="inlineStr">
        <is>
          <t>Tasks</t>
        </is>
      </c>
      <c r="B5" s="69">
        <f>COUNTA(A11:A46)</f>
        <v/>
      </c>
      <c r="D5" s="70" t="inlineStr">
        <is>
          <t>The only rule that matters</t>
        </is>
      </c>
    </row>
    <row r="6" ht="15" customHeight="1" s="50">
      <c r="A6" s="71" t="inlineStr">
        <is>
          <t>Done</t>
        </is>
      </c>
      <c r="B6" s="72">
        <f>COUNTIF(I11:I46,"Done")</f>
        <v/>
      </c>
      <c r="D6" s="73" t="inlineStr">
        <is>
          <t>AI owns the technical work. You own guided verification and decisions. Stop at the time cap. A task may remain In progress; a hard gate may not be waved through.</t>
        </is>
      </c>
      <c r="E6" s="74" t="n"/>
      <c r="F6" s="74" t="n"/>
      <c r="G6" s="74" t="n"/>
      <c r="H6" s="74" t="n"/>
      <c r="I6" s="74" t="n"/>
      <c r="J6" s="75" t="n"/>
    </row>
    <row r="7" ht="15" customHeight="1" s="50">
      <c r="A7" s="71" t="inlineStr">
        <is>
          <t>Remaining</t>
        </is>
      </c>
      <c r="B7" s="72">
        <f>B5-B6</f>
        <v/>
      </c>
      <c r="D7" s="76" t="n"/>
      <c r="J7" s="77" t="n"/>
    </row>
    <row r="8" ht="15" customHeight="1" s="50">
      <c r="A8" s="71" t="inlineStr">
        <is>
          <t>Blocked</t>
        </is>
      </c>
      <c r="B8" s="72">
        <f>COUNTIF(I11:I46,"Blocked")</f>
        <v/>
      </c>
      <c r="D8" s="76" t="n"/>
      <c r="J8" s="77" t="n"/>
    </row>
    <row r="9" ht="15" customHeight="1" s="50">
      <c r="A9" s="78" t="inlineStr">
        <is>
          <t>Progress</t>
        </is>
      </c>
      <c r="B9" s="79">
        <f>IFERROR(B6/B5,0)</f>
        <v/>
      </c>
      <c r="D9" s="80" t="n"/>
      <c r="E9" s="81" t="n"/>
      <c r="F9" s="81" t="n"/>
      <c r="G9" s="81" t="n"/>
      <c r="H9" s="81" t="n"/>
      <c r="I9" s="81" t="n"/>
      <c r="J9" s="82" t="n"/>
    </row>
    <row r="10" ht="36" customHeight="1" s="50">
      <c r="A10" s="83" t="inlineStr">
        <is>
          <t>Date</t>
        </is>
      </c>
      <c r="B10" s="83" t="inlineStr">
        <is>
          <t>Day</t>
        </is>
      </c>
      <c r="C10" s="83" t="inlineStr">
        <is>
          <t>Phase</t>
        </is>
      </c>
      <c r="D10" s="83" t="inlineStr">
        <is>
          <t>Morning: copy this entire prompt into Codex</t>
        </is>
      </c>
      <c r="E10" s="83" t="inlineStr">
        <is>
          <t>Evening / weekend: exactly what you do</t>
        </is>
      </c>
      <c r="F10" s="83" t="inlineStr">
        <is>
          <t>Time cap</t>
        </is>
      </c>
      <c r="G10" s="83" t="inlineStr">
        <is>
          <t>Done means</t>
        </is>
      </c>
      <c r="H10" s="83" t="inlineStr">
        <is>
          <t>Hard gate?</t>
        </is>
      </c>
      <c r="I10" s="83" t="inlineStr">
        <is>
          <t>Status</t>
        </is>
      </c>
      <c r="J10" s="83" t="inlineStr">
        <is>
          <t>Notes / evidence</t>
        </is>
      </c>
    </row>
    <row r="11" ht="168" customHeight="1" s="50">
      <c r="A11" s="84" t="n">
        <v>46293.5</v>
      </c>
      <c r="B11" s="85" t="inlineStr">
        <is>
          <t>Weekday</t>
        </is>
      </c>
      <c r="C11" s="86" t="inlineStr">
        <is>
          <t>Release &amp; data safety</t>
        </is>
      </c>
      <c r="D11" s="87"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87"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87" t="inlineStr">
        <is>
          <t>10 min morning + 75 min evening</t>
        </is>
      </c>
      <c r="G11" s="87" t="inlineStr">
        <is>
          <t>The named test passes with saved evidence and no unresolved auth, data-loss, isolation, save, restore, or export blocker.</t>
        </is>
      </c>
      <c r="H11" s="88" t="inlineStr">
        <is>
          <t>Yes</t>
        </is>
      </c>
      <c r="I11" s="88" t="inlineStr">
        <is>
          <t>Done</t>
        </is>
      </c>
      <c r="J11" s="87"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s="50">
      <c r="A12" s="84" t="n">
        <v>46294.5</v>
      </c>
      <c r="B12" s="85" t="inlineStr">
        <is>
          <t>Weekday</t>
        </is>
      </c>
      <c r="C12" s="86" t="inlineStr">
        <is>
          <t>Release &amp; data safety</t>
        </is>
      </c>
      <c r="D12" s="87"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87"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87" t="inlineStr">
        <is>
          <t>10 min + 90 min</t>
        </is>
      </c>
      <c r="G12" s="87" t="inlineStr">
        <is>
          <t>The named test passes with saved evidence and no unresolved auth, data-loss, isolation, save, restore, or export blocker.</t>
        </is>
      </c>
      <c r="H12" s="88" t="inlineStr">
        <is>
          <t>Yes</t>
        </is>
      </c>
      <c r="I12" s="88" t="inlineStr">
        <is>
          <t>Done</t>
        </is>
      </c>
      <c r="J12" s="87"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s="50">
      <c r="A13" s="84" t="n">
        <v>46295.5</v>
      </c>
      <c r="B13" s="85" t="inlineStr">
        <is>
          <t>Weekday</t>
        </is>
      </c>
      <c r="C13" s="86" t="inlineStr">
        <is>
          <t>Release &amp; data safety</t>
        </is>
      </c>
      <c r="D13" s="87"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87"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87" t="inlineStr">
        <is>
          <t>10 min + 90 min</t>
        </is>
      </c>
      <c r="G13" s="87" t="inlineStr">
        <is>
          <t>The named test passes with saved evidence and no unresolved auth, data-loss, isolation, save, restore, or export blocker.</t>
        </is>
      </c>
      <c r="H13" s="88" t="inlineStr">
        <is>
          <t>Yes</t>
        </is>
      </c>
      <c r="I13" s="88" t="inlineStr">
        <is>
          <t>Done</t>
        </is>
      </c>
      <c r="J13" s="87"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s="50">
      <c r="A14" s="84" t="n">
        <v>46296.5</v>
      </c>
      <c r="B14" s="85" t="inlineStr">
        <is>
          <t>Weekday</t>
        </is>
      </c>
      <c r="C14" s="86" t="inlineStr">
        <is>
          <t>Release &amp; data safety</t>
        </is>
      </c>
      <c r="D14" s="87"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87"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87" t="inlineStr">
        <is>
          <t>10 min + 90 min</t>
        </is>
      </c>
      <c r="G14" s="87" t="inlineStr">
        <is>
          <t>The named test passes with saved evidence and no unresolved auth, data-loss, isolation, save, restore, or export blocker.</t>
        </is>
      </c>
      <c r="H14" s="88" t="inlineStr">
        <is>
          <t>Yes</t>
        </is>
      </c>
      <c r="I14" s="88" t="inlineStr">
        <is>
          <t>Done</t>
        </is>
      </c>
      <c r="J14" s="87"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s="50">
      <c r="A15" s="84" t="n">
        <v>46297.5</v>
      </c>
      <c r="B15" s="85" t="inlineStr">
        <is>
          <t>Weekday</t>
        </is>
      </c>
      <c r="C15" s="86" t="inlineStr">
        <is>
          <t>Release &amp; data safety</t>
        </is>
      </c>
      <c r="D15" s="87"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87"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87" t="inlineStr">
        <is>
          <t>10 min + 90 min</t>
        </is>
      </c>
      <c r="G15" s="87" t="inlineStr">
        <is>
          <t>The named test passes with saved evidence and no unresolved auth, data-loss, isolation, save, restore, or export blocker.</t>
        </is>
      </c>
      <c r="H15" s="88" t="inlineStr">
        <is>
          <t>Yes</t>
        </is>
      </c>
      <c r="I15" s="88" t="inlineStr">
        <is>
          <t>Done</t>
        </is>
      </c>
      <c r="J15" s="87"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s="50">
      <c r="A16" s="84" t="n">
        <v>46298.5</v>
      </c>
      <c r="B16" s="89" t="inlineStr">
        <is>
          <t>Weekend</t>
        </is>
      </c>
      <c r="C16" s="86" t="inlineStr">
        <is>
          <t>Release &amp; data safety</t>
        </is>
      </c>
      <c r="D16" s="87"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87" t="inlineStr">
        <is>
          <t>15 min + up to 3 h 45 min</t>
        </is>
      </c>
      <c r="G16" s="87" t="inlineStr">
        <is>
          <t>The named test passes with saved evidence and no unresolved auth, data-loss, isolation, save, restore, or export blocker.</t>
        </is>
      </c>
      <c r="H16" s="88" t="inlineStr">
        <is>
          <t>Yes</t>
        </is>
      </c>
      <c r="I16" s="88" t="inlineStr">
        <is>
          <t>Done</t>
        </is>
      </c>
      <c r="J16" s="87"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 See also 'Plan from 1 Oct' 3 Oct row (database continuity, orphan scene cleanup, password policy) - also Done 3 Oct.</t>
        </is>
      </c>
    </row>
    <row r="17" ht="168" customHeight="1" s="50">
      <c r="A17" s="84" t="n">
        <v>46299.5</v>
      </c>
      <c r="B17" s="89" t="inlineStr">
        <is>
          <t>Weekend</t>
        </is>
      </c>
      <c r="C17" s="86" t="inlineStr">
        <is>
          <t>Release &amp; data safety</t>
        </is>
      </c>
      <c r="D17" s="87"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87" t="inlineStr">
        <is>
          <t>15 min + up to 3 h 45 min</t>
        </is>
      </c>
      <c r="G17" s="87" t="inlineStr">
        <is>
          <t>The named test passes with saved evidence and no unresolved auth, data-loss, isolation, save, restore, or export blocker.</t>
        </is>
      </c>
      <c r="H17" s="88" t="inlineStr">
        <is>
          <t>Yes</t>
        </is>
      </c>
      <c r="I17" s="88" t="inlineStr">
        <is>
          <t>Done</t>
        </is>
      </c>
      <c r="J17" s="87"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 See also 'Plan from 1 Oct' 4 Oct row (data-safety matrix, server-side media limits, legacy vault recovery, save indicator, manuscript audit) - also Done 4 Oct.</t>
        </is>
      </c>
    </row>
    <row r="18" ht="168" customHeight="1" s="50">
      <c r="A18" s="84" t="n">
        <v>46300.5</v>
      </c>
      <c r="B18" s="85" t="inlineStr">
        <is>
          <t>Weekday</t>
        </is>
      </c>
      <c r="C18" s="90" t="inlineStr">
        <is>
          <t>Cloud &amp; security</t>
        </is>
      </c>
      <c r="D18" s="87"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87"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87" t="inlineStr">
        <is>
          <t>10 min + 90 min</t>
        </is>
      </c>
      <c r="G18" s="87" t="inlineStr">
        <is>
          <t>The named production or export check passes with saved evidence and no unresolved security, ownership, storage, or lifecycle blocker.</t>
        </is>
      </c>
      <c r="H18" s="88" t="inlineStr">
        <is>
          <t>Yes</t>
        </is>
      </c>
      <c r="I18" s="88" t="inlineStr">
        <is>
          <t>Done</t>
        </is>
      </c>
      <c r="J18" s="87"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 See also 'Plan from 1 Oct' 5 Oct row: gate summaries written, owner sign-off outstanding, and the 5 Oct pricing/Stripe test-checkout work.</t>
        </is>
      </c>
    </row>
    <row r="19" ht="168" customHeight="1" s="50">
      <c r="A19" s="84" t="n">
        <v>46301.5</v>
      </c>
      <c r="B19" s="85" t="inlineStr">
        <is>
          <t>Weekday</t>
        </is>
      </c>
      <c r="C19" s="90" t="inlineStr">
        <is>
          <t>Cloud &amp; security</t>
        </is>
      </c>
      <c r="D19" s="87"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87"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87" t="inlineStr">
        <is>
          <t>10 min + 75 min</t>
        </is>
      </c>
      <c r="G19" s="87" t="inlineStr">
        <is>
          <t>The named production or export check passes with saved evidence and no unresolved security, ownership, storage, or lifecycle blocker.</t>
        </is>
      </c>
      <c r="H19" s="88" t="inlineStr">
        <is>
          <t>Yes</t>
        </is>
      </c>
      <c r="I19" s="88" t="inlineStr">
        <is>
          <t>Moved</t>
        </is>
      </c>
      <c r="J19" s="87" t="inlineStr">
        <is>
          <t>Moved 5 Oct: Codex days finish on 5 Oct. 6 Oct is now the Desktop day on the 'Plan from 1 Oct' sheet (entitlement matrix, device cap and vault privacy already prepared 4 Oct).</t>
        </is>
      </c>
    </row>
    <row r="20" ht="168" customHeight="1" s="50">
      <c r="A20" s="84" t="n">
        <v>46302.5</v>
      </c>
      <c r="B20" s="85" t="inlineStr">
        <is>
          <t>Weekday</t>
        </is>
      </c>
      <c r="C20" s="90" t="inlineStr">
        <is>
          <t>Cloud &amp; security</t>
        </is>
      </c>
      <c r="D20" s="87"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87"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87" t="inlineStr">
        <is>
          <t>10 min + 75 min</t>
        </is>
      </c>
      <c r="G20" s="87" t="inlineStr">
        <is>
          <t>The named production or export check passes with saved evidence and no unresolved security, ownership, storage, or lifecycle blocker.</t>
        </is>
      </c>
      <c r="H20" s="88" t="inlineStr">
        <is>
          <t>Yes</t>
        </is>
      </c>
      <c r="I20" s="88" t="inlineStr">
        <is>
          <t>Moved</t>
        </is>
      </c>
      <c r="J20" s="87" t="inlineStr">
        <is>
          <t>Moved 30 Sep: this day's content is rescheduled on the 'Plan from 1 Oct' sheet.</t>
        </is>
      </c>
    </row>
    <row r="21" ht="168" customHeight="1" s="50">
      <c r="A21" s="84" t="n">
        <v>46303.5</v>
      </c>
      <c r="B21" s="85" t="inlineStr">
        <is>
          <t>Weekday</t>
        </is>
      </c>
      <c r="C21" s="90" t="inlineStr">
        <is>
          <t>Cloud &amp; security</t>
        </is>
      </c>
      <c r="D21" s="87"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87"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87" t="inlineStr">
        <is>
          <t>10 min + 90 min</t>
        </is>
      </c>
      <c r="G21" s="87" t="inlineStr">
        <is>
          <t>The named production or export check passes with saved evidence and no unresolved security, ownership, storage, or lifecycle blocker.</t>
        </is>
      </c>
      <c r="H21" s="88" t="inlineStr">
        <is>
          <t>Yes</t>
        </is>
      </c>
      <c r="I21" s="88" t="inlineStr">
        <is>
          <t>Moved</t>
        </is>
      </c>
      <c r="J21" s="87" t="inlineStr">
        <is>
          <t>Moved 30 Sep: this day's content is rescheduled on the 'Plan from 1 Oct' sheet.</t>
        </is>
      </c>
    </row>
    <row r="22" ht="168" customHeight="1" s="50">
      <c r="A22" s="84" t="n">
        <v>46304.5</v>
      </c>
      <c r="B22" s="85" t="inlineStr">
        <is>
          <t>Weekday</t>
        </is>
      </c>
      <c r="C22" s="90" t="inlineStr">
        <is>
          <t>Cloud &amp; security</t>
        </is>
      </c>
      <c r="D22" s="87"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87"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87" t="inlineStr">
        <is>
          <t>10 min + 60 min</t>
        </is>
      </c>
      <c r="G22" s="87" t="inlineStr">
        <is>
          <t>The named production or export check passes with saved evidence and no unresolved security, ownership, storage, or lifecycle blocker.</t>
        </is>
      </c>
      <c r="H22" s="88" t="inlineStr">
        <is>
          <t>Yes</t>
        </is>
      </c>
      <c r="I22" s="88" t="inlineStr">
        <is>
          <t>Moved</t>
        </is>
      </c>
      <c r="J22" s="87" t="inlineStr">
        <is>
          <t>Moved 30 Sep: this day's content is rescheduled on the 'Plan from 1 Oct' sheet.</t>
        </is>
      </c>
    </row>
    <row r="23" ht="168" customHeight="1" s="50">
      <c r="A23" s="84" t="n">
        <v>46305.5</v>
      </c>
      <c r="B23" s="89" t="inlineStr">
        <is>
          <t>Weekend</t>
        </is>
      </c>
      <c r="C23" s="90" t="inlineStr">
        <is>
          <t>Cloud &amp; security</t>
        </is>
      </c>
      <c r="D23" s="87"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87" t="inlineStr">
        <is>
          <t>15 min + up to 3 h 45 min</t>
        </is>
      </c>
      <c r="G23" s="87" t="inlineStr">
        <is>
          <t>The named production or export check passes with saved evidence and no unresolved security, ownership, storage, or lifecycle blocker.</t>
        </is>
      </c>
      <c r="H23" s="88" t="inlineStr">
        <is>
          <t>Yes</t>
        </is>
      </c>
      <c r="I23" s="88" t="inlineStr">
        <is>
          <t>Moved</t>
        </is>
      </c>
      <c r="J23" s="87" t="inlineStr">
        <is>
          <t>Moved 30 Sep: this day's content is rescheduled on the 'Plan from 1 Oct' sheet.</t>
        </is>
      </c>
    </row>
    <row r="24" ht="168" customHeight="1" s="50">
      <c r="A24" s="84" t="n">
        <v>46306.5</v>
      </c>
      <c r="B24" s="89" t="inlineStr">
        <is>
          <t>Weekend</t>
        </is>
      </c>
      <c r="C24" s="90" t="inlineStr">
        <is>
          <t>Cloud &amp; security</t>
        </is>
      </c>
      <c r="D24" s="87"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87" t="inlineStr">
        <is>
          <t>15 min + up to 3 h 45 min</t>
        </is>
      </c>
      <c r="G24" s="87" t="inlineStr">
        <is>
          <t>The named production or export check passes with saved evidence and no unresolved security, ownership, storage, or lifecycle blocker.</t>
        </is>
      </c>
      <c r="H24" s="88" t="inlineStr">
        <is>
          <t>Yes</t>
        </is>
      </c>
      <c r="I24" s="88" t="inlineStr">
        <is>
          <t>Moved</t>
        </is>
      </c>
      <c r="J24" s="87" t="inlineStr">
        <is>
          <t>Moved 30 Sep: this day's content is rescheduled on the 'Plan from 1 Oct' sheet.</t>
        </is>
      </c>
    </row>
    <row r="25" ht="168" customHeight="1" s="50">
      <c r="A25" s="84" t="n">
        <v>46307.5</v>
      </c>
      <c r="B25" s="85" t="inlineStr">
        <is>
          <t>Weekday</t>
        </is>
      </c>
      <c r="C25" s="89" t="inlineStr">
        <is>
          <t>Desktop</t>
        </is>
      </c>
      <c r="D25" s="87"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87"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87" t="inlineStr">
        <is>
          <t>10 min + 100 min</t>
        </is>
      </c>
      <c r="G25" s="87" t="inlineStr">
        <is>
          <t>The named packaged-app journey passes on the required real machine, and the evidence is saved.</t>
        </is>
      </c>
      <c r="H25" s="88" t="inlineStr">
        <is>
          <t>Yes</t>
        </is>
      </c>
      <c r="I25" s="88" t="inlineStr">
        <is>
          <t>Moved</t>
        </is>
      </c>
      <c r="J25" s="87" t="inlineStr">
        <is>
          <t>Moved 30 Sep: this day's content is rescheduled on the 'Plan from 1 Oct' sheet.</t>
        </is>
      </c>
    </row>
    <row r="26" ht="168" customHeight="1" s="50">
      <c r="A26" s="84" t="n">
        <v>46308.5</v>
      </c>
      <c r="B26" s="85" t="inlineStr">
        <is>
          <t>Weekday</t>
        </is>
      </c>
      <c r="C26" s="89" t="inlineStr">
        <is>
          <t>Desktop</t>
        </is>
      </c>
      <c r="D26" s="87"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87"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87" t="inlineStr">
        <is>
          <t>10 min + 100 min</t>
        </is>
      </c>
      <c r="G26" s="87" t="inlineStr">
        <is>
          <t>The named packaged-app journey passes on the required real machine, and the evidence is saved.</t>
        </is>
      </c>
      <c r="H26" s="88" t="inlineStr">
        <is>
          <t>Yes</t>
        </is>
      </c>
      <c r="I26" s="88" t="inlineStr">
        <is>
          <t>Moved</t>
        </is>
      </c>
      <c r="J26" s="87" t="inlineStr">
        <is>
          <t>Moved 30 Sep: this day's content is rescheduled on the 'Plan from 1 Oct' sheet.</t>
        </is>
      </c>
    </row>
    <row r="27" ht="168" customHeight="1" s="50">
      <c r="A27" s="84" t="n">
        <v>46309.5</v>
      </c>
      <c r="B27" s="85" t="inlineStr">
        <is>
          <t>Weekday</t>
        </is>
      </c>
      <c r="C27" s="89" t="inlineStr">
        <is>
          <t>Desktop</t>
        </is>
      </c>
      <c r="D27" s="87"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87"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87" t="inlineStr">
        <is>
          <t>10 min + 90 min</t>
        </is>
      </c>
      <c r="G27" s="87" t="inlineStr">
        <is>
          <t>The named packaged-app journey passes on the required real machine, and the evidence is saved.</t>
        </is>
      </c>
      <c r="H27" s="88" t="inlineStr">
        <is>
          <t>Yes</t>
        </is>
      </c>
      <c r="I27" s="88" t="inlineStr">
        <is>
          <t>Moved</t>
        </is>
      </c>
      <c r="J27" s="87" t="inlineStr">
        <is>
          <t>Moved 30 Sep: this day's content is rescheduled on the 'Plan from 1 Oct' sheet.</t>
        </is>
      </c>
    </row>
    <row r="28" ht="168" customHeight="1" s="50">
      <c r="A28" s="84" t="n">
        <v>46310.5</v>
      </c>
      <c r="B28" s="85" t="inlineStr">
        <is>
          <t>Weekday</t>
        </is>
      </c>
      <c r="C28" s="89" t="inlineStr">
        <is>
          <t>Desktop</t>
        </is>
      </c>
      <c r="D28" s="87"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87"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87" t="inlineStr">
        <is>
          <t>10 min + 100 min</t>
        </is>
      </c>
      <c r="G28" s="87" t="inlineStr">
        <is>
          <t>The named packaged-app journey passes on the required real machine, and the evidence is saved.</t>
        </is>
      </c>
      <c r="H28" s="88" t="inlineStr">
        <is>
          <t>Yes</t>
        </is>
      </c>
      <c r="I28" s="88" t="inlineStr">
        <is>
          <t>Moved</t>
        </is>
      </c>
      <c r="J28" s="87" t="inlineStr">
        <is>
          <t>Moved 30 Sep: this day's content is rescheduled on the 'Plan from 1 Oct' sheet.</t>
        </is>
      </c>
    </row>
    <row r="29" ht="168" customHeight="1" s="50">
      <c r="A29" s="84" t="n">
        <v>46311.5</v>
      </c>
      <c r="B29" s="85" t="inlineStr">
        <is>
          <t>Weekday</t>
        </is>
      </c>
      <c r="C29" s="89" t="inlineStr">
        <is>
          <t>Desktop</t>
        </is>
      </c>
      <c r="D29" s="87"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87"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87" t="inlineStr">
        <is>
          <t>10 min + 75 min</t>
        </is>
      </c>
      <c r="G29" s="87" t="inlineStr">
        <is>
          <t>The named packaged-app journey passes on the required real machine, and the evidence is saved.</t>
        </is>
      </c>
      <c r="H29" s="88" t="inlineStr">
        <is>
          <t>Yes</t>
        </is>
      </c>
      <c r="I29" s="88" t="inlineStr">
        <is>
          <t>Moved</t>
        </is>
      </c>
      <c r="J29" s="87" t="inlineStr">
        <is>
          <t>Moved 30 Sep: this day's content is rescheduled on the 'Plan from 1 Oct' sheet.</t>
        </is>
      </c>
    </row>
    <row r="30" ht="168" customHeight="1" s="50">
      <c r="A30" s="84" t="n">
        <v>46312.5</v>
      </c>
      <c r="B30" s="89" t="inlineStr">
        <is>
          <t>Weekend</t>
        </is>
      </c>
      <c r="C30" s="89" t="inlineStr">
        <is>
          <t>Desktop</t>
        </is>
      </c>
      <c r="D30" s="87"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87" t="inlineStr">
        <is>
          <t>15 min + up to 3 h 45 min</t>
        </is>
      </c>
      <c r="G30" s="87" t="inlineStr">
        <is>
          <t>The named packaged-app journey passes on the required real machine, and the evidence is saved.</t>
        </is>
      </c>
      <c r="H30" s="88" t="inlineStr">
        <is>
          <t>Yes</t>
        </is>
      </c>
      <c r="I30" s="88" t="inlineStr">
        <is>
          <t>Moved</t>
        </is>
      </c>
      <c r="J30" s="87" t="inlineStr">
        <is>
          <t>Moved 30 Sep: this day's content is rescheduled on the 'Plan from 1 Oct' sheet.</t>
        </is>
      </c>
    </row>
    <row r="31" ht="168" customHeight="1" s="50">
      <c r="A31" s="84" t="n">
        <v>46313.5</v>
      </c>
      <c r="B31" s="89" t="inlineStr">
        <is>
          <t>Weekend</t>
        </is>
      </c>
      <c r="C31" s="89" t="inlineStr">
        <is>
          <t>Desktop</t>
        </is>
      </c>
      <c r="D31" s="87"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87" t="inlineStr">
        <is>
          <t>15 min + up to 3 h 45 min</t>
        </is>
      </c>
      <c r="G31" s="87" t="inlineStr">
        <is>
          <t>The named packaged-app journey passes on the required real machine, and the evidence is saved.</t>
        </is>
      </c>
      <c r="H31" s="88" t="inlineStr">
        <is>
          <t>Yes</t>
        </is>
      </c>
      <c r="I31" s="88" t="inlineStr">
        <is>
          <t>Moved</t>
        </is>
      </c>
      <c r="J31" s="87" t="inlineStr">
        <is>
          <t>Moved 30 Sep: this day's content is rescheduled on the 'Plan from 1 Oct' sheet.</t>
        </is>
      </c>
    </row>
    <row r="32" ht="168" customHeight="1" s="50">
      <c r="A32" s="84" t="n">
        <v>46314.5</v>
      </c>
      <c r="B32" s="85" t="inlineStr">
        <is>
          <t>Weekday</t>
        </is>
      </c>
      <c r="C32" s="91" t="inlineStr">
        <is>
          <t>Product acceptance</t>
        </is>
      </c>
      <c r="D32" s="87"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87"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87" t="inlineStr">
        <is>
          <t>10 min + 100 min</t>
        </is>
      </c>
      <c r="G32" s="87" t="inlineStr">
        <is>
          <t>The named customer journey works as advertised, and any reproducible launch-blocking failure is fixed and retested.</t>
        </is>
      </c>
      <c r="H32" s="88" t="inlineStr">
        <is>
          <t>Yes</t>
        </is>
      </c>
      <c r="I32" s="88" t="inlineStr">
        <is>
          <t>Moved</t>
        </is>
      </c>
      <c r="J32" s="87" t="inlineStr">
        <is>
          <t>Moved 30 Sep: this day's content is rescheduled on the 'Plan from 1 Oct' sheet.</t>
        </is>
      </c>
    </row>
    <row r="33" ht="168" customHeight="1" s="50">
      <c r="A33" s="84" t="n">
        <v>46315.5</v>
      </c>
      <c r="B33" s="85" t="inlineStr">
        <is>
          <t>Weekday</t>
        </is>
      </c>
      <c r="C33" s="91" t="inlineStr">
        <is>
          <t>Product acceptance</t>
        </is>
      </c>
      <c r="D33" s="87"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87"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87" t="inlineStr">
        <is>
          <t>10 min + 100 min</t>
        </is>
      </c>
      <c r="G33" s="87" t="inlineStr">
        <is>
          <t>The named customer journey works as advertised, and any reproducible launch-blocking failure is fixed and retested.</t>
        </is>
      </c>
      <c r="H33" s="88" t="inlineStr">
        <is>
          <t>Yes</t>
        </is>
      </c>
      <c r="I33" s="88" t="inlineStr">
        <is>
          <t>Moved</t>
        </is>
      </c>
      <c r="J33" s="87" t="inlineStr">
        <is>
          <t>Moved 30 Sep: this day's content is rescheduled on the 'Plan from 1 Oct' sheet.</t>
        </is>
      </c>
    </row>
    <row r="34" ht="168" customHeight="1" s="50">
      <c r="A34" s="84" t="n">
        <v>46316.5</v>
      </c>
      <c r="B34" s="85" t="inlineStr">
        <is>
          <t>Weekday</t>
        </is>
      </c>
      <c r="C34" s="91" t="inlineStr">
        <is>
          <t>Product acceptance</t>
        </is>
      </c>
      <c r="D34" s="87"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87"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87" t="inlineStr">
        <is>
          <t>10 min + 100 min</t>
        </is>
      </c>
      <c r="G34" s="87" t="inlineStr">
        <is>
          <t>The named customer journey works as advertised, and any reproducible launch-blocking failure is fixed and retested.</t>
        </is>
      </c>
      <c r="H34" s="88" t="inlineStr">
        <is>
          <t>Yes</t>
        </is>
      </c>
      <c r="I34" s="88" t="inlineStr">
        <is>
          <t>Moved</t>
        </is>
      </c>
      <c r="J34" s="87" t="inlineStr">
        <is>
          <t>Moved 30 Sep: this day's content is rescheduled on the 'Plan from 1 Oct' sheet.</t>
        </is>
      </c>
    </row>
    <row r="35" ht="168" customHeight="1" s="50">
      <c r="A35" s="84" t="n">
        <v>46317.5</v>
      </c>
      <c r="B35" s="85" t="inlineStr">
        <is>
          <t>Weekday</t>
        </is>
      </c>
      <c r="C35" s="91" t="inlineStr">
        <is>
          <t>Product acceptance</t>
        </is>
      </c>
      <c r="D35" s="87"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87"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87" t="inlineStr">
        <is>
          <t>10 min + 100 min</t>
        </is>
      </c>
      <c r="G35" s="87" t="inlineStr">
        <is>
          <t>The named customer journey works as advertised, and any reproducible launch-blocking failure is fixed and retested.</t>
        </is>
      </c>
      <c r="H35" s="88" t="inlineStr">
        <is>
          <t>Yes</t>
        </is>
      </c>
      <c r="I35" s="88" t="inlineStr">
        <is>
          <t>Moved</t>
        </is>
      </c>
      <c r="J35" s="87" t="inlineStr">
        <is>
          <t>Moved 30 Sep: this day's content is rescheduled on the 'Plan from 1 Oct' sheet.</t>
        </is>
      </c>
    </row>
    <row r="36" ht="168" customHeight="1" s="50">
      <c r="A36" s="84" t="n">
        <v>46318.5</v>
      </c>
      <c r="B36" s="85" t="inlineStr">
        <is>
          <t>Weekday</t>
        </is>
      </c>
      <c r="C36" s="91" t="inlineStr">
        <is>
          <t>Product acceptance</t>
        </is>
      </c>
      <c r="D36" s="87"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87"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87" t="inlineStr">
        <is>
          <t>10 min + 100 min</t>
        </is>
      </c>
      <c r="G36" s="87" t="inlineStr">
        <is>
          <t>The named customer journey works as advertised, and any reproducible launch-blocking failure is fixed and retested.</t>
        </is>
      </c>
      <c r="H36" s="88" t="inlineStr">
        <is>
          <t>Yes</t>
        </is>
      </c>
      <c r="I36" s="88" t="inlineStr">
        <is>
          <t>Moved</t>
        </is>
      </c>
      <c r="J36" s="87" t="inlineStr">
        <is>
          <t>Moved 30 Sep: this day's content is rescheduled on the 'Plan from 1 Oct' sheet.</t>
        </is>
      </c>
    </row>
    <row r="37" ht="168" customHeight="1" s="50">
      <c r="A37" s="84" t="n">
        <v>46319.5</v>
      </c>
      <c r="B37" s="89" t="inlineStr">
        <is>
          <t>Weekend</t>
        </is>
      </c>
      <c r="C37" s="91" t="inlineStr">
        <is>
          <t>Product acceptance</t>
        </is>
      </c>
      <c r="D37" s="87"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87" t="inlineStr">
        <is>
          <t>15 min + up to 3 h 45 min</t>
        </is>
      </c>
      <c r="G37" s="87" t="inlineStr">
        <is>
          <t>The named customer journey works as advertised, and any reproducible launch-blocking failure is fixed and retested.</t>
        </is>
      </c>
      <c r="H37" s="88" t="inlineStr">
        <is>
          <t>Yes</t>
        </is>
      </c>
      <c r="I37" s="88" t="inlineStr">
        <is>
          <t>Moved</t>
        </is>
      </c>
      <c r="J37" s="87" t="inlineStr">
        <is>
          <t>Moved 30 Sep: this day's content is rescheduled on the 'Plan from 1 Oct' sheet.</t>
        </is>
      </c>
    </row>
    <row r="38" ht="168" customHeight="1" s="50">
      <c r="A38" s="84" t="n">
        <v>46320.5</v>
      </c>
      <c r="B38" s="89" t="inlineStr">
        <is>
          <t>Weekend</t>
        </is>
      </c>
      <c r="C38" s="91" t="inlineStr">
        <is>
          <t>Product acceptance</t>
        </is>
      </c>
      <c r="D38" s="87"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87" t="inlineStr">
        <is>
          <t>15 min + up to 3 h 45 min</t>
        </is>
      </c>
      <c r="G38" s="87" t="inlineStr">
        <is>
          <t>The named customer journey works as advertised, and any reproducible launch-blocking failure is fixed and retested.</t>
        </is>
      </c>
      <c r="H38" s="88" t="inlineStr">
        <is>
          <t>Yes</t>
        </is>
      </c>
      <c r="I38" s="88" t="inlineStr">
        <is>
          <t>Moved</t>
        </is>
      </c>
      <c r="J38" s="87" t="inlineStr">
        <is>
          <t>Moved 30 Sep: this day's content is rescheduled on the 'Plan from 1 Oct' sheet.</t>
        </is>
      </c>
    </row>
    <row r="39" ht="168" customHeight="1" s="50">
      <c r="A39" s="84" t="n">
        <v>46321.5</v>
      </c>
      <c r="B39" s="85" t="inlineStr">
        <is>
          <t>Weekday</t>
        </is>
      </c>
      <c r="C39" s="92" t="inlineStr">
        <is>
          <t>Payments &amp; release</t>
        </is>
      </c>
      <c r="D39" s="87"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87"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87" t="inlineStr">
        <is>
          <t>10 min + 100 min</t>
        </is>
      </c>
      <c r="G39" s="87" t="inlineStr">
        <is>
          <t>The named legal, payment, Beta, or release check passes, evidence is saved, and no promise conflicts with behaviour.</t>
        </is>
      </c>
      <c r="H39" s="88" t="inlineStr">
        <is>
          <t>Yes</t>
        </is>
      </c>
      <c r="I39" s="88" t="inlineStr">
        <is>
          <t>Moved</t>
        </is>
      </c>
      <c r="J39" s="87" t="inlineStr">
        <is>
          <t>Moved 30 Sep: this day's content is rescheduled on the 'Plan from 1 Oct' sheet.</t>
        </is>
      </c>
    </row>
    <row r="40" ht="168" customHeight="1" s="50">
      <c r="A40" s="84" t="n">
        <v>46322.5</v>
      </c>
      <c r="B40" s="85" t="inlineStr">
        <is>
          <t>Weekday</t>
        </is>
      </c>
      <c r="C40" s="92" t="inlineStr">
        <is>
          <t>Payments &amp; release</t>
        </is>
      </c>
      <c r="D40" s="87"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87"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87" t="inlineStr">
        <is>
          <t>10 min + 90 min</t>
        </is>
      </c>
      <c r="G40" s="87" t="inlineStr">
        <is>
          <t>The named legal, payment, Beta, or release check passes, evidence is saved, and no promise conflicts with behaviour.</t>
        </is>
      </c>
      <c r="H40" s="88" t="inlineStr">
        <is>
          <t>Yes</t>
        </is>
      </c>
      <c r="I40" s="88" t="inlineStr">
        <is>
          <t>Moved</t>
        </is>
      </c>
      <c r="J40" s="87" t="inlineStr">
        <is>
          <t>Moved 30 Sep: this day's content is rescheduled on the 'Plan from 1 Oct' sheet.</t>
        </is>
      </c>
    </row>
    <row r="41" ht="168" customHeight="1" s="50">
      <c r="A41" s="84" t="n">
        <v>46323.5</v>
      </c>
      <c r="B41" s="85" t="inlineStr">
        <is>
          <t>Weekday</t>
        </is>
      </c>
      <c r="C41" s="92" t="inlineStr">
        <is>
          <t>Payments &amp; release</t>
        </is>
      </c>
      <c r="D41" s="87"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Founding Lifetime, Standard Lifetime, renewal, cancellation/failure,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87"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87" t="inlineStr">
        <is>
          <t>10 min + 110 min</t>
        </is>
      </c>
      <c r="G41" s="87" t="inlineStr">
        <is>
          <t>The named legal, payment, Beta, or release check passes, evidence is saved, and no promise conflicts with behaviour.</t>
        </is>
      </c>
      <c r="H41" s="88" t="inlineStr">
        <is>
          <t>Yes</t>
        </is>
      </c>
      <c r="I41" s="88" t="inlineStr">
        <is>
          <t>Moved</t>
        </is>
      </c>
      <c r="J41" s="87" t="inlineStr">
        <is>
          <t>Moved 30 Sep: this day's content is rescheduled on the 'Plan from 1 Oct' sheet.</t>
        </is>
      </c>
    </row>
    <row r="42" ht="168" customHeight="1" s="50">
      <c r="A42" s="84" t="n">
        <v>46324.5</v>
      </c>
      <c r="B42" s="85" t="inlineStr">
        <is>
          <t>Weekday</t>
        </is>
      </c>
      <c r="C42" s="92" t="inlineStr">
        <is>
          <t>Payments &amp; release</t>
        </is>
      </c>
      <c r="D42" s="87"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87"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87" t="inlineStr">
        <is>
          <t>10 min + 90 min</t>
        </is>
      </c>
      <c r="G42" s="87" t="inlineStr">
        <is>
          <t>The named legal, payment, Beta, or release check passes, evidence is saved, and no promise conflicts with behaviour.</t>
        </is>
      </c>
      <c r="H42" s="88" t="inlineStr">
        <is>
          <t>Yes</t>
        </is>
      </c>
      <c r="I42" s="88" t="inlineStr">
        <is>
          <t>Moved</t>
        </is>
      </c>
      <c r="J42" s="87" t="inlineStr">
        <is>
          <t>Moved 30 Sep: this day's content is rescheduled on the 'Plan from 1 Oct' sheet.</t>
        </is>
      </c>
    </row>
    <row r="43" ht="168" customHeight="1" s="50">
      <c r="A43" s="84" t="n">
        <v>46325.5</v>
      </c>
      <c r="B43" s="85" t="inlineStr">
        <is>
          <t>Weekday</t>
        </is>
      </c>
      <c r="C43" s="92" t="inlineStr">
        <is>
          <t>Payments &amp; release</t>
        </is>
      </c>
      <c r="D43" s="87"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87"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87" t="inlineStr">
        <is>
          <t>10 min + 105 min</t>
        </is>
      </c>
      <c r="G43" s="87" t="inlineStr">
        <is>
          <t>The named legal, payment, Beta, or release check passes, evidence is saved, and no promise conflicts with behaviour.</t>
        </is>
      </c>
      <c r="H43" s="88" t="inlineStr">
        <is>
          <t>Yes</t>
        </is>
      </c>
      <c r="I43" s="88" t="inlineStr">
        <is>
          <t>Not started</t>
        </is>
      </c>
      <c r="J43" s="87" t="inlineStr">
        <is>
          <t>Extra roadmap items for this day are on the 'Plan from 1 Oct' sheet.</t>
        </is>
      </c>
    </row>
    <row r="44" ht="168" customHeight="1" s="50">
      <c r="A44" s="84" t="n">
        <v>46326.5</v>
      </c>
      <c r="B44" s="89" t="inlineStr">
        <is>
          <t>Weekend</t>
        </is>
      </c>
      <c r="C44" s="92" t="inlineStr">
        <is>
          <t>Payments &amp; release</t>
        </is>
      </c>
      <c r="D44" s="87"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87" t="inlineStr">
        <is>
          <t>15 min + up to 3 h 45 min</t>
        </is>
      </c>
      <c r="G44" s="87" t="inlineStr">
        <is>
          <t>The named legal, payment, Beta, or release check passes, evidence is saved, and no promise conflicts with behaviour.</t>
        </is>
      </c>
      <c r="H44" s="88" t="inlineStr">
        <is>
          <t>Yes</t>
        </is>
      </c>
      <c r="I44" s="88" t="inlineStr">
        <is>
          <t>Not started</t>
        </is>
      </c>
      <c r="J44" s="87" t="inlineStr">
        <is>
          <t>Extra roadmap items for this day are on the 'Plan from 1 Oct' sheet.</t>
        </is>
      </c>
    </row>
    <row r="45" ht="168" customHeight="1" s="50">
      <c r="A45" s="84" t="n">
        <v>46327.5</v>
      </c>
      <c r="B45" s="89" t="inlineStr">
        <is>
          <t>Weekend</t>
        </is>
      </c>
      <c r="C45" s="93" t="inlineStr">
        <is>
          <t>Quiet release</t>
        </is>
      </c>
      <c r="D45" s="87"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87"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87" t="inlineStr">
        <is>
          <t>15 min + up to 3 h 45 min</t>
        </is>
      </c>
      <c r="G45" s="87" t="inlineStr">
        <is>
          <t>One real purchase grants the correct access; save and export work; Beta is no longer public; existing testers stay safe; rollback is ready.</t>
        </is>
      </c>
      <c r="H45" s="88" t="inlineStr">
        <is>
          <t>Yes</t>
        </is>
      </c>
      <c r="I45" s="88" t="inlineStr">
        <is>
          <t>Not started</t>
        </is>
      </c>
      <c r="J45" s="87" t="inlineStr">
        <is>
          <t>Extra roadmap items for this day are on the 'Plan from 1 Oct' sheet.</t>
        </is>
      </c>
    </row>
    <row r="46" ht="168" customHeight="1" s="50">
      <c r="A46" s="94" t="n">
        <v>46328.5</v>
      </c>
      <c r="B46" s="95" t="inlineStr">
        <is>
          <t>Weekday</t>
        </is>
      </c>
      <c r="C46" s="96" t="inlineStr">
        <is>
          <t>Public launch</t>
        </is>
      </c>
      <c r="D46" s="97"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97"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97" t="inlineStr">
        <is>
          <t>10 min + 100 min</t>
        </is>
      </c>
      <c r="G46" s="97" t="inlineStr">
        <is>
          <t>Overnight health is clean, approved marketing is live, and payment, entitlement, analytics, and support monitoring are active.</t>
        </is>
      </c>
      <c r="H46" s="98" t="inlineStr">
        <is>
          <t>Yes</t>
        </is>
      </c>
      <c r="I46" s="98" t="inlineStr">
        <is>
          <t>Not started</t>
        </is>
      </c>
      <c r="J46" s="97" t="inlineStr">
        <is>
          <t>Extra roadmap items for this day are on the 'Plan from 1 Oct' sheet.</t>
        </is>
      </c>
    </row>
  </sheetData>
  <mergeCells count="4">
    <mergeCell ref="D6:J9"/>
    <mergeCell ref="D5:J5"/>
    <mergeCell ref="A3:J3"/>
    <mergeCell ref="A2:J2"/>
  </mergeCells>
  <conditionalFormatting sqref="I11:I46">
    <cfRule type="containsText" rank="0" priority="2" equalAverage="0" operator="containsText" aboveAverage="0" dxfId="15" text="Done" percent="0" bottom="0">
      <formula>NOT(ISERROR(SEARCH("Done",I11)))</formula>
    </cfRule>
    <cfRule type="containsText" rank="0" priority="3" equalAverage="0" operator="containsText" aboveAverage="0" dxfId="16" text="In progress" percent="0" bottom="0">
      <formula>NOT(ISERROR(SEARCH("In progress",I11)))</formula>
    </cfRule>
    <cfRule type="containsText" rank="0" priority="4" equalAverage="0" operator="containsText" aboveAverage="0" dxfId="17" text="Blocked" percent="0" bottom="0">
      <formula>NOT(ISERROR(SEARCH("Blocked",I11)))</formula>
    </cfRule>
    <cfRule type="containsText" rank="0" priority="5" equalAverage="0" operator="containsText" aboveAverage="0" dxfId="18" text="Not started" percent="0" bottom="0">
      <formula>NOT(ISERROR(SEARCH("Not started",I11)))</formula>
    </cfRule>
  </conditionalFormatting>
  <dataValidations count="1">
    <dataValidation sqref="I11:I46"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tabColor rgb="FF2B7A78"/>
    <outlinePr summaryBelow="1" summaryRight="1"/>
    <pageSetUpPr fitToPage="0"/>
  </sheetPr>
  <dimension ref="A2:N5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3" customWidth="1" style="49" min="1" max="14"/>
  </cols>
  <sheetData>
    <row r="2" ht="19.7" customHeight="1" s="50">
      <c r="A2" s="51" t="inlineStr">
        <is>
          <t>SUPERSEDED from 1 Oct to 29 Oct (the cells below for 1-5 Oct show the old plan): use the 'Plan from 1 Oct' sheet. YOW launch calendar — at a glance</t>
        </is>
      </c>
    </row>
    <row r="3" ht="15" customHeight="1" s="50">
      <c r="A3" s="52" t="inlineStr">
        <is>
          <t>Weekdays ≤2 hours · weekends ≤4 hours · use Daily Guide for the full prompt and exact instructions</t>
        </is>
      </c>
    </row>
    <row r="5" ht="24" customHeight="1" s="50">
      <c r="A5" s="99" t="inlineStr">
        <is>
          <t>Week 1 · 2026-09-28 to 2026-10-04</t>
        </is>
      </c>
      <c r="B5" s="100" t="n"/>
      <c r="C5" s="100" t="n"/>
      <c r="D5" s="100" t="n"/>
      <c r="E5" s="100" t="n"/>
      <c r="F5" s="100" t="n"/>
      <c r="G5" s="100" t="n"/>
      <c r="H5" s="100" t="n"/>
      <c r="I5" s="100" t="n"/>
      <c r="J5" s="100" t="n"/>
      <c r="K5" s="100" t="n"/>
      <c r="L5" s="100" t="n"/>
      <c r="M5" s="100" t="n"/>
      <c r="N5" s="101" t="n"/>
    </row>
    <row r="6" ht="24" customHeight="1" s="50">
      <c r="A6" s="102" t="inlineStr">
        <is>
          <t>Mon 28 Sept</t>
        </is>
      </c>
      <c r="B6" s="101" t="n"/>
      <c r="C6" s="102" t="inlineStr">
        <is>
          <t>Tue 29 Sept</t>
        </is>
      </c>
      <c r="D6" s="101" t="n"/>
      <c r="E6" s="102" t="inlineStr">
        <is>
          <t>Wed 30 Sept</t>
        </is>
      </c>
      <c r="F6" s="101" t="n"/>
      <c r="G6" s="102" t="inlineStr">
        <is>
          <t>Thu 1 Oct</t>
        </is>
      </c>
      <c r="H6" s="101" t="n"/>
      <c r="I6" s="102" t="inlineStr">
        <is>
          <t>Fri 2 Oct</t>
        </is>
      </c>
      <c r="J6" s="101" t="n"/>
      <c r="K6" s="102" t="inlineStr">
        <is>
          <t>Sat 3 Oct</t>
        </is>
      </c>
      <c r="L6" s="101" t="n"/>
      <c r="M6" s="102" t="inlineStr">
        <is>
          <t>Sun 4 Oct</t>
        </is>
      </c>
      <c r="N6" s="101" t="n"/>
    </row>
    <row r="7" ht="26" customHeight="1" s="50">
      <c r="A7" s="10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56" t="n"/>
      <c r="C7" s="10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56" t="n"/>
      <c r="E7" s="10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56" t="n"/>
      <c r="G7" s="10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56" t="n"/>
      <c r="I7" s="103" t="inlineStr">
        <is>
          <t>AM — AI
Prepare the two-account/account-switch entitlement-isolation test and inspect all server-side entitlement paths.
PM / BLOCKS — YOU
Run the guided two-account test using designated test accounts only.
CAP: 10 min + 90 min</t>
        </is>
      </c>
      <c r="J7" s="56" t="n"/>
      <c r="K7" s="10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56" t="n"/>
      <c r="M7" s="104" t="inlineStr">
        <is>
          <t>AM — AI
Run export/import collision and full-account ownership checks; repair failures and assemble Data Safety Gate evidence.
PM / BLOCKS — YOU
Export, inspect, restore/import, and complete the Data Safety go/no-go review.
CAP: 15 min + up to 3 h 45 min</t>
        </is>
      </c>
      <c r="N7" s="56" t="n"/>
    </row>
    <row r="8" ht="26" customHeight="1" s="50">
      <c r="A8" s="57" t="n"/>
      <c r="B8" s="58" t="n"/>
      <c r="C8" s="57" t="n"/>
      <c r="D8" s="58" t="n"/>
      <c r="E8" s="57" t="n"/>
      <c r="F8" s="58" t="n"/>
      <c r="G8" s="57" t="n"/>
      <c r="H8" s="58" t="n"/>
      <c r="I8" s="57" t="n"/>
      <c r="J8" s="58" t="n"/>
      <c r="K8" s="57" t="n"/>
      <c r="L8" s="58" t="n"/>
      <c r="M8" s="57" t="n"/>
      <c r="N8" s="58" t="n"/>
    </row>
    <row r="9" ht="26" customHeight="1" s="50">
      <c r="A9" s="57" t="n"/>
      <c r="B9" s="58" t="n"/>
      <c r="C9" s="57" t="n"/>
      <c r="D9" s="58" t="n"/>
      <c r="E9" s="57" t="n"/>
      <c r="F9" s="58" t="n"/>
      <c r="G9" s="57" t="n"/>
      <c r="H9" s="58" t="n"/>
      <c r="I9" s="57" t="n"/>
      <c r="J9" s="58" t="n"/>
      <c r="K9" s="57" t="n"/>
      <c r="L9" s="58" t="n"/>
      <c r="M9" s="57" t="n"/>
      <c r="N9" s="58" t="n"/>
    </row>
    <row r="10" ht="26" customHeight="1" s="50">
      <c r="A10" s="57" t="n"/>
      <c r="B10" s="58" t="n"/>
      <c r="C10" s="57" t="n"/>
      <c r="D10" s="58" t="n"/>
      <c r="E10" s="57" t="n"/>
      <c r="F10" s="58" t="n"/>
      <c r="G10" s="57" t="n"/>
      <c r="H10" s="58" t="n"/>
      <c r="I10" s="57" t="n"/>
      <c r="J10" s="58" t="n"/>
      <c r="K10" s="57" t="n"/>
      <c r="L10" s="58" t="n"/>
      <c r="M10" s="57" t="n"/>
      <c r="N10" s="58" t="n"/>
    </row>
    <row r="11" ht="26" customHeight="1" s="50">
      <c r="A11" s="59" t="n"/>
      <c r="B11" s="61" t="n"/>
      <c r="C11" s="59" t="n"/>
      <c r="D11" s="61" t="n"/>
      <c r="E11" s="59" t="n"/>
      <c r="F11" s="61" t="n"/>
      <c r="G11" s="59" t="n"/>
      <c r="H11" s="61" t="n"/>
      <c r="I11" s="59" t="n"/>
      <c r="J11" s="61" t="n"/>
      <c r="K11" s="59" t="n"/>
      <c r="L11" s="61" t="n"/>
      <c r="M11" s="59" t="n"/>
      <c r="N11" s="61" t="n"/>
    </row>
    <row r="13" ht="24" customHeight="1" s="50">
      <c r="A13" s="105" t="inlineStr">
        <is>
          <t>Week 2 · 2026-10-05 to 2026-10-11</t>
        </is>
      </c>
      <c r="B13" s="100" t="n"/>
      <c r="C13" s="100" t="n"/>
      <c r="D13" s="100" t="n"/>
      <c r="E13" s="100" t="n"/>
      <c r="F13" s="100" t="n"/>
      <c r="G13" s="100" t="n"/>
      <c r="H13" s="100" t="n"/>
      <c r="I13" s="100" t="n"/>
      <c r="J13" s="100" t="n"/>
      <c r="K13" s="100" t="n"/>
      <c r="L13" s="100" t="n"/>
      <c r="M13" s="100" t="n"/>
      <c r="N13" s="101" t="n"/>
    </row>
    <row r="14" ht="24" customHeight="1" s="50">
      <c r="A14" s="102" t="inlineStr">
        <is>
          <t>Mon 5 Oct</t>
        </is>
      </c>
      <c r="B14" s="101" t="n"/>
      <c r="C14" s="102" t="inlineStr">
        <is>
          <t>Tue 6 Oct</t>
        </is>
      </c>
      <c r="D14" s="101" t="n"/>
      <c r="E14" s="102" t="inlineStr">
        <is>
          <t>Wed 7 Oct</t>
        </is>
      </c>
      <c r="F14" s="101" t="n"/>
      <c r="G14" s="102" t="inlineStr">
        <is>
          <t>Thu 8 Oct</t>
        </is>
      </c>
      <c r="H14" s="101" t="n"/>
      <c r="I14" s="102" t="inlineStr">
        <is>
          <t>Fri 9 Oct</t>
        </is>
      </c>
      <c r="J14" s="101" t="n"/>
      <c r="K14" s="102" t="inlineStr">
        <is>
          <t>Sat 10 Oct</t>
        </is>
      </c>
      <c r="L14" s="101" t="n"/>
      <c r="M14" s="102" t="inlineStr">
        <is>
          <t>Sun 11 Oct</t>
        </is>
      </c>
      <c r="N14" s="101" t="n"/>
    </row>
    <row r="15" ht="26" customHeight="1" s="50">
      <c r="A15" s="103" t="inlineStr">
        <is>
          <t>AM — AI
Audit and live-check AI proxy, email endpoints, CORS, durable rate limits, token rejection, and deployed security headers.
PM / BLOCKS — YOU
Follow the safe browser/dashboard checks and record only pass/fail evidence.
CAP: 10 min + 90 min</t>
        </is>
      </c>
      <c r="B15" s="56" t="n"/>
      <c r="C15" s="103" t="inlineStr">
        <is>
          <t>AM — AI
Complete private-media RLS and storage-accounting verification, including replacement and deletion cleanup.
PM / BLOCKS — YOU
Upload, replace, delete, and verify one disposable image and its storage figure.
CAP: 10 min + 75 min</t>
        </is>
      </c>
      <c r="D15" s="56" t="n"/>
      <c r="E15" s="103" t="inlineStr">
        <is>
          <t>AM — AI
Finish the cloud-expiry/inactive-account lifecycle implementation and tests: notices, Export All, grace, archive/delete, and cloud-write shutdown.
PM / BLOCKS — YOU
Review the customer-visible sequence and approve the exact wording.
CAP: 10 min + 75 min</t>
        </is>
      </c>
      <c r="F15" s="56" t="n"/>
      <c r="G15" s="10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56" t="n"/>
      <c r="I15" s="10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56" t="n"/>
      <c r="K15" s="104" t="inlineStr">
        <is>
          <t>AM — AI
Run the entire data-safety/auth/export matrix and fix failures in priority order.
PM / BLOCKS — YOU
Perform the remaining real-account checks in two focused blocks; stop at four hours.
CAP: 15 min + up to 3 h 45 min</t>
        </is>
      </c>
      <c r="L15" s="56" t="n"/>
      <c r="M15" s="104" t="inlineStr">
        <is>
          <t>AM — AI
Use the day as the hard-gate repair buffer, rerun the whole matrix, and produce a signed-off evidence summary.
PM / BLOCKS — YOU
Review the summary. Mark the gate Done only if no data-loss/auth/export blocker remains.
CAP: 15 min + up to 3 h 45 min</t>
        </is>
      </c>
      <c r="N15" s="56" t="n"/>
    </row>
    <row r="16" ht="26" customHeight="1" s="50">
      <c r="A16" s="57" t="n"/>
      <c r="B16" s="58" t="n"/>
      <c r="C16" s="57" t="n"/>
      <c r="D16" s="58" t="n"/>
      <c r="E16" s="57" t="n"/>
      <c r="F16" s="58" t="n"/>
      <c r="G16" s="57" t="n"/>
      <c r="H16" s="58" t="n"/>
      <c r="I16" s="57" t="n"/>
      <c r="J16" s="58" t="n"/>
      <c r="K16" s="57" t="n"/>
      <c r="L16" s="58" t="n"/>
      <c r="M16" s="57" t="n"/>
      <c r="N16" s="58" t="n"/>
    </row>
    <row r="17" ht="26" customHeight="1" s="50">
      <c r="A17" s="57" t="n"/>
      <c r="B17" s="58" t="n"/>
      <c r="C17" s="57" t="n"/>
      <c r="D17" s="58" t="n"/>
      <c r="E17" s="57" t="n"/>
      <c r="F17" s="58" t="n"/>
      <c r="G17" s="57" t="n"/>
      <c r="H17" s="58" t="n"/>
      <c r="I17" s="57" t="n"/>
      <c r="J17" s="58" t="n"/>
      <c r="K17" s="57" t="n"/>
      <c r="L17" s="58" t="n"/>
      <c r="M17" s="57" t="n"/>
      <c r="N17" s="58" t="n"/>
    </row>
    <row r="18" ht="26" customHeight="1" s="50">
      <c r="A18" s="57" t="n"/>
      <c r="B18" s="58" t="n"/>
      <c r="C18" s="57" t="n"/>
      <c r="D18" s="58" t="n"/>
      <c r="E18" s="57" t="n"/>
      <c r="F18" s="58" t="n"/>
      <c r="G18" s="57" t="n"/>
      <c r="H18" s="58" t="n"/>
      <c r="I18" s="57" t="n"/>
      <c r="J18" s="58" t="n"/>
      <c r="K18" s="57" t="n"/>
      <c r="L18" s="58" t="n"/>
      <c r="M18" s="57" t="n"/>
      <c r="N18" s="58" t="n"/>
    </row>
    <row r="19" ht="26" customHeight="1" s="50">
      <c r="A19" s="59" t="n"/>
      <c r="B19" s="61" t="n"/>
      <c r="C19" s="59" t="n"/>
      <c r="D19" s="61" t="n"/>
      <c r="E19" s="59" t="n"/>
      <c r="F19" s="61" t="n"/>
      <c r="G19" s="59" t="n"/>
      <c r="H19" s="61" t="n"/>
      <c r="I19" s="59" t="n"/>
      <c r="J19" s="61" t="n"/>
      <c r="K19" s="59" t="n"/>
      <c r="L19" s="61" t="n"/>
      <c r="M19" s="59" t="n"/>
      <c r="N19" s="61" t="n"/>
    </row>
    <row r="21" ht="24" customHeight="1" s="50">
      <c r="A21" s="106" t="inlineStr">
        <is>
          <t>Week 3 · 2026-10-12 to 2026-10-18</t>
        </is>
      </c>
      <c r="B21" s="100" t="n"/>
      <c r="C21" s="100" t="n"/>
      <c r="D21" s="100" t="n"/>
      <c r="E21" s="100" t="n"/>
      <c r="F21" s="100" t="n"/>
      <c r="G21" s="100" t="n"/>
      <c r="H21" s="100" t="n"/>
      <c r="I21" s="100" t="n"/>
      <c r="J21" s="100" t="n"/>
      <c r="K21" s="100" t="n"/>
      <c r="L21" s="100" t="n"/>
      <c r="M21" s="100" t="n"/>
      <c r="N21" s="101" t="n"/>
    </row>
    <row r="22" ht="24" customHeight="1" s="50">
      <c r="A22" s="102" t="inlineStr">
        <is>
          <t>Mon 12 Oct</t>
        </is>
      </c>
      <c r="B22" s="101" t="n"/>
      <c r="C22" s="102" t="inlineStr">
        <is>
          <t>Tue 13 Oct</t>
        </is>
      </c>
      <c r="D22" s="101" t="n"/>
      <c r="E22" s="102" t="inlineStr">
        <is>
          <t>Wed 14 Oct</t>
        </is>
      </c>
      <c r="F22" s="101" t="n"/>
      <c r="G22" s="102" t="inlineStr">
        <is>
          <t>Thu 15 Oct</t>
        </is>
      </c>
      <c r="H22" s="101" t="n"/>
      <c r="I22" s="102" t="inlineStr">
        <is>
          <t>Fri 16 Oct</t>
        </is>
      </c>
      <c r="J22" s="101" t="n"/>
      <c r="K22" s="102" t="inlineStr">
        <is>
          <t>Sat 17 Oct</t>
        </is>
      </c>
      <c r="L22" s="101" t="n"/>
      <c r="M22" s="102" t="inlineStr">
        <is>
          <t>Sun 18 Oct</t>
        </is>
      </c>
      <c r="N22" s="101" t="n"/>
    </row>
    <row r="23" ht="26" customHeight="1" s="50">
      <c r="A23" s="103" t="inlineStr">
        <is>
          <t>AM — AI
Implement/finish the full signed-in Tauri project workspace and run desktop unit/Rust/build checks.
PM / BLOCKS — YOU
Open the Mac test build and verify login, library, project navigation, and writing.
CAP: 10 min + 100 min</t>
        </is>
      </c>
      <c r="B23" s="56" t="n"/>
      <c r="C23" s="103" t="inlineStr">
        <is>
          <t>AM — AI
Stress the desktop vault: write-behind durability, quit/force-quit, snapshot, restore, relocation, integrity, and disk-error handling.
PM / BLOCKS — YOU
Run the guided vault persistence and restore test with an isolated test vault.
CAP: 10 min + 100 min</t>
        </is>
      </c>
      <c r="D23" s="56" t="n"/>
      <c r="E23" s="103" t="inlineStr">
        <is>
          <t>AM — AI
Verify and repair native ZIP/DOCX/PDF/PNG save dialogs and file contents in packaged desktop builds.
PM / BLOCKS — YOU
Save and open each format from the packaged Mac app.
CAP: 10 min + 90 min</t>
        </is>
      </c>
      <c r="F23" s="56" t="n"/>
      <c r="G23" s="103" t="inlineStr">
        <is>
          <t>AM — AI
Finish Local Mode/lapse/renewal merge logic, cold-start retry, conflict surfacing, and no-cloud-write verification.
PM / BLOCKS — YOU
Run the guided lapse → web edit → renewal → desktop merge scenario.
CAP: 10 min + 100 min</t>
        </is>
      </c>
      <c r="H23" s="56" t="n"/>
      <c r="I23" s="103" t="inlineStr">
        <is>
          <t>AM — AI
Finalise updater manifests, download entitlement gating, installer URLs, hashes, provenance, and unsigned-app instructions.
PM / BLOCKS — YOU
Review the download page and Mac instructions as a customer.
CAP: 10 min + 75 min</t>
        </is>
      </c>
      <c r="J23" s="56" t="n"/>
      <c r="K23" s="104" t="inlineStr">
        <is>
          <t>AM — AI
Produce and inspect the final Mac candidate; drive clean-machine install, workspace, export, restore, updater, and uninstall acceptance.
PM / BLOCKS — YOU
Complete the clean/test Mac checklist in two blocks.
CAP: 15 min + up to 3 h 45 min</t>
        </is>
      </c>
      <c r="L23" s="56" t="n"/>
      <c r="M23" s="10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56" t="n"/>
    </row>
    <row r="24" ht="26" customHeight="1" s="50">
      <c r="A24" s="57" t="n"/>
      <c r="B24" s="58" t="n"/>
      <c r="C24" s="57" t="n"/>
      <c r="D24" s="58" t="n"/>
      <c r="E24" s="57" t="n"/>
      <c r="F24" s="58" t="n"/>
      <c r="G24" s="57" t="n"/>
      <c r="H24" s="58" t="n"/>
      <c r="I24" s="57" t="n"/>
      <c r="J24" s="58" t="n"/>
      <c r="K24" s="57" t="n"/>
      <c r="L24" s="58" t="n"/>
      <c r="M24" s="57" t="n"/>
      <c r="N24" s="58" t="n"/>
    </row>
    <row r="25" ht="26" customHeight="1" s="50">
      <c r="A25" s="57" t="n"/>
      <c r="B25" s="58" t="n"/>
      <c r="C25" s="57" t="n"/>
      <c r="D25" s="58" t="n"/>
      <c r="E25" s="57" t="n"/>
      <c r="F25" s="58" t="n"/>
      <c r="G25" s="57" t="n"/>
      <c r="H25" s="58" t="n"/>
      <c r="I25" s="57" t="n"/>
      <c r="J25" s="58" t="n"/>
      <c r="K25" s="57" t="n"/>
      <c r="L25" s="58" t="n"/>
      <c r="M25" s="57" t="n"/>
      <c r="N25" s="58" t="n"/>
    </row>
    <row r="26" ht="26" customHeight="1" s="50">
      <c r="A26" s="57" t="n"/>
      <c r="B26" s="58" t="n"/>
      <c r="C26" s="57" t="n"/>
      <c r="D26" s="58" t="n"/>
      <c r="E26" s="57" t="n"/>
      <c r="F26" s="58" t="n"/>
      <c r="G26" s="57" t="n"/>
      <c r="H26" s="58" t="n"/>
      <c r="I26" s="57" t="n"/>
      <c r="J26" s="58" t="n"/>
      <c r="K26" s="57" t="n"/>
      <c r="L26" s="58" t="n"/>
      <c r="M26" s="57" t="n"/>
      <c r="N26" s="58" t="n"/>
    </row>
    <row r="27" ht="26" customHeight="1" s="50">
      <c r="A27" s="59" t="n"/>
      <c r="B27" s="61" t="n"/>
      <c r="C27" s="59" t="n"/>
      <c r="D27" s="61" t="n"/>
      <c r="E27" s="59" t="n"/>
      <c r="F27" s="61" t="n"/>
      <c r="G27" s="59" t="n"/>
      <c r="H27" s="61" t="n"/>
      <c r="I27" s="59" t="n"/>
      <c r="J27" s="61" t="n"/>
      <c r="K27" s="59" t="n"/>
      <c r="L27" s="61" t="n"/>
      <c r="M27" s="59" t="n"/>
      <c r="N27" s="61" t="n"/>
    </row>
    <row r="29" ht="24" customHeight="1" s="50">
      <c r="A29" s="107" t="inlineStr">
        <is>
          <t>Week 4 · 2026-10-19 to 2026-10-25</t>
        </is>
      </c>
      <c r="B29" s="100" t="n"/>
      <c r="C29" s="100" t="n"/>
      <c r="D29" s="100" t="n"/>
      <c r="E29" s="100" t="n"/>
      <c r="F29" s="100" t="n"/>
      <c r="G29" s="100" t="n"/>
      <c r="H29" s="100" t="n"/>
      <c r="I29" s="100" t="n"/>
      <c r="J29" s="100" t="n"/>
      <c r="K29" s="100" t="n"/>
      <c r="L29" s="100" t="n"/>
      <c r="M29" s="100" t="n"/>
      <c r="N29" s="101" t="n"/>
    </row>
    <row r="30" ht="24" customHeight="1" s="50">
      <c r="A30" s="102" t="inlineStr">
        <is>
          <t>Mon 19 Oct</t>
        </is>
      </c>
      <c r="B30" s="101" t="n"/>
      <c r="C30" s="102" t="inlineStr">
        <is>
          <t>Tue 20 Oct</t>
        </is>
      </c>
      <c r="D30" s="101" t="n"/>
      <c r="E30" s="102" t="inlineStr">
        <is>
          <t>Wed 21 Oct</t>
        </is>
      </c>
      <c r="F30" s="101" t="n"/>
      <c r="G30" s="102" t="inlineStr">
        <is>
          <t>Thu 22 Oct</t>
        </is>
      </c>
      <c r="H30" s="101" t="n"/>
      <c r="I30" s="102" t="inlineStr">
        <is>
          <t>Fri 23 Oct</t>
        </is>
      </c>
      <c r="J30" s="101" t="n"/>
      <c r="K30" s="102" t="inlineStr">
        <is>
          <t>Sat 24 Oct</t>
        </is>
      </c>
      <c r="L30" s="101" t="n"/>
      <c r="M30" s="102" t="inlineStr">
        <is>
          <t>Sun 25 Oct</t>
        </is>
      </c>
      <c r="N30" s="101" t="n"/>
    </row>
    <row r="31" ht="26" customHeight="1" s="50">
      <c r="A31" s="103" t="inlineStr">
        <is>
          <t>AM — AI
Run and repair complete Novella and Short Story workflow, defaults, persistence, and export acceptance.
PM / BLOCKS — YOU
Perform the two guided create → write → export journeys.
CAP: 10 min + 100 min</t>
        </is>
      </c>
      <c r="B31" s="56" t="n"/>
      <c r="C31" s="103" t="inlineStr">
        <is>
          <t>AM — AI
Run and repair complete D&amp;D and TTRPG prep/recap, Character Builder, map/default, AI-context, and export acceptance.
PM / BLOCKS — YOU
Perform the two guided campaign journeys using disposable campaigns.
CAP: 10 min + 100 min</t>
        </is>
      </c>
      <c r="D31" s="56" t="n"/>
      <c r="E31" s="103" t="inlineStr">
        <is>
          <t>AM — AI
Run and repair Novel and Comic live-cloud, large-project, and complete export acceptance.
PM / BLOCKS — YOU
Perform the guided Novel and Comic journeys.
CAP: 10 min + 100 min</t>
        </is>
      </c>
      <c r="F31" s="56" t="n"/>
      <c r="G31" s="103" t="inlineStr">
        <is>
          <t>AM — AI
Run the full Map Builder owner checklist and repair interaction, layer, persistence, responsive, and export defects.
PM / BLOCKS — YOU
Complete the guided map workflow and inspect its exports.
CAP: 10 min + 100 min</t>
        </is>
      </c>
      <c r="H31" s="56" t="n"/>
      <c r="I31" s="10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56" t="n"/>
      <c r="K31" s="104" t="inlineStr">
        <is>
          <t>AM — AI
Run realistic large-project performance plus 375/768/desktop, keyboard, focus, contrast, real-iPhone, and theme acceptance; fix blockers.
PM / BLOCKS — YOU
Complete device/accessibility tests in two focused blocks.
CAP: 15 min + up to 3 h 45 min</t>
        </is>
      </c>
      <c r="L31" s="56" t="n"/>
      <c r="M31" s="10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56" t="n"/>
    </row>
    <row r="32" ht="26" customHeight="1" s="50">
      <c r="A32" s="57" t="n"/>
      <c r="B32" s="58" t="n"/>
      <c r="C32" s="57" t="n"/>
      <c r="D32" s="58" t="n"/>
      <c r="E32" s="57" t="n"/>
      <c r="F32" s="58" t="n"/>
      <c r="G32" s="57" t="n"/>
      <c r="H32" s="58" t="n"/>
      <c r="I32" s="57" t="n"/>
      <c r="J32" s="58" t="n"/>
      <c r="K32" s="57" t="n"/>
      <c r="L32" s="58" t="n"/>
      <c r="M32" s="57" t="n"/>
      <c r="N32" s="58" t="n"/>
    </row>
    <row r="33" ht="26" customHeight="1" s="50">
      <c r="A33" s="57" t="n"/>
      <c r="B33" s="58" t="n"/>
      <c r="C33" s="57" t="n"/>
      <c r="D33" s="58" t="n"/>
      <c r="E33" s="57" t="n"/>
      <c r="F33" s="58" t="n"/>
      <c r="G33" s="57" t="n"/>
      <c r="H33" s="58" t="n"/>
      <c r="I33" s="57" t="n"/>
      <c r="J33" s="58" t="n"/>
      <c r="K33" s="57" t="n"/>
      <c r="L33" s="58" t="n"/>
      <c r="M33" s="57" t="n"/>
      <c r="N33" s="58" t="n"/>
    </row>
    <row r="34" ht="26" customHeight="1" s="50">
      <c r="A34" s="57" t="n"/>
      <c r="B34" s="58" t="n"/>
      <c r="C34" s="57" t="n"/>
      <c r="D34" s="58" t="n"/>
      <c r="E34" s="57" t="n"/>
      <c r="F34" s="58" t="n"/>
      <c r="G34" s="57" t="n"/>
      <c r="H34" s="58" t="n"/>
      <c r="I34" s="57" t="n"/>
      <c r="J34" s="58" t="n"/>
      <c r="K34" s="57" t="n"/>
      <c r="L34" s="58" t="n"/>
      <c r="M34" s="57" t="n"/>
      <c r="N34" s="58" t="n"/>
    </row>
    <row r="35" ht="26" customHeight="1" s="50">
      <c r="A35" s="59" t="n"/>
      <c r="B35" s="61" t="n"/>
      <c r="C35" s="59" t="n"/>
      <c r="D35" s="61" t="n"/>
      <c r="E35" s="59" t="n"/>
      <c r="F35" s="61" t="n"/>
      <c r="G35" s="59" t="n"/>
      <c r="H35" s="61" t="n"/>
      <c r="I35" s="59" t="n"/>
      <c r="J35" s="61" t="n"/>
      <c r="K35" s="59" t="n"/>
      <c r="L35" s="61" t="n"/>
      <c r="M35" s="59" t="n"/>
      <c r="N35" s="61" t="n"/>
    </row>
    <row r="37" ht="24" customHeight="1" s="50">
      <c r="A37" s="108" t="inlineStr">
        <is>
          <t>Week 5 · 2026-10-26 to 2026-11-01</t>
        </is>
      </c>
      <c r="B37" s="100" t="n"/>
      <c r="C37" s="100" t="n"/>
      <c r="D37" s="100" t="n"/>
      <c r="E37" s="100" t="n"/>
      <c r="F37" s="100" t="n"/>
      <c r="G37" s="100" t="n"/>
      <c r="H37" s="100" t="n"/>
      <c r="I37" s="100" t="n"/>
      <c r="J37" s="100" t="n"/>
      <c r="K37" s="100" t="n"/>
      <c r="L37" s="100" t="n"/>
      <c r="M37" s="100" t="n"/>
      <c r="N37" s="101" t="n"/>
    </row>
    <row r="38" ht="24" customHeight="1" s="50">
      <c r="A38" s="102" t="inlineStr">
        <is>
          <t>Mon 26 Oct</t>
        </is>
      </c>
      <c r="B38" s="101" t="n"/>
      <c r="C38" s="102" t="inlineStr">
        <is>
          <t>Tue 27 Oct</t>
        </is>
      </c>
      <c r="D38" s="101" t="n"/>
      <c r="E38" s="102" t="inlineStr">
        <is>
          <t>Wed 28 Oct</t>
        </is>
      </c>
      <c r="F38" s="101" t="n"/>
      <c r="G38" s="102" t="inlineStr">
        <is>
          <t>Thu 29 Oct</t>
        </is>
      </c>
      <c r="H38" s="101" t="n"/>
      <c r="I38" s="102" t="inlineStr">
        <is>
          <t>Fri 30 Oct</t>
        </is>
      </c>
      <c r="J38" s="101" t="n"/>
      <c r="K38" s="102" t="inlineStr">
        <is>
          <t>Sat 31 Oct</t>
        </is>
      </c>
      <c r="L38" s="101" t="n"/>
      <c r="M38" s="102" t="inlineStr">
        <is>
          <t>Sun 1 Nov</t>
        </is>
      </c>
      <c r="N38" s="101" t="n"/>
    </row>
    <row r="39" ht="26" customHeight="1" s="50">
      <c r="A39" s="10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56" t="n"/>
      <c r="C39" s="10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56" t="n"/>
      <c r="E39" s="103" t="inlineStr">
        <is>
          <t>AM — AI
Drive the full Stripe test-mode journey one step at a time: Monthly, Founding Lifetime, Standard Lifetime, renewal, cancellation/failure, replay, refund, and dispute.
PM / BLOCKS — YOU
Complete guided test payments and verify app access after each event.
CAP: 10 min + 110 min</t>
        </is>
      </c>
      <c r="F39" s="56" t="n"/>
      <c r="G39" s="10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56" t="n"/>
      <c r="I39" s="103" t="inlineStr">
        <is>
          <t>AM — AI
Freeze Release Candidate 1; run full automated/browser/Rust/build/security/marketing checks and produce the final go/no-go packet.
PM / BLOCKS — YOU
Perform one 60-minute customer smoke test and make the formal go/no-go decision.
CAP: 10 min + 105 min</t>
        </is>
      </c>
      <c r="J39" s="56" t="n"/>
      <c r="K39" s="10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56" t="n"/>
      <c r="M39" s="10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56" t="n"/>
    </row>
    <row r="40" ht="26" customHeight="1" s="50">
      <c r="A40" s="57" t="n"/>
      <c r="B40" s="58" t="n"/>
      <c r="C40" s="57" t="n"/>
      <c r="D40" s="58" t="n"/>
      <c r="E40" s="57" t="n"/>
      <c r="F40" s="58" t="n"/>
      <c r="G40" s="57" t="n"/>
      <c r="H40" s="58" t="n"/>
      <c r="I40" s="57" t="n"/>
      <c r="J40" s="58" t="n"/>
      <c r="K40" s="57" t="n"/>
      <c r="L40" s="58" t="n"/>
      <c r="M40" s="57" t="n"/>
      <c r="N40" s="58" t="n"/>
    </row>
    <row r="41" ht="26" customHeight="1" s="50">
      <c r="A41" s="57" t="n"/>
      <c r="B41" s="58" t="n"/>
      <c r="C41" s="57" t="n"/>
      <c r="D41" s="58" t="n"/>
      <c r="E41" s="57" t="n"/>
      <c r="F41" s="58" t="n"/>
      <c r="G41" s="57" t="n"/>
      <c r="H41" s="58" t="n"/>
      <c r="I41" s="57" t="n"/>
      <c r="J41" s="58" t="n"/>
      <c r="K41" s="57" t="n"/>
      <c r="L41" s="58" t="n"/>
      <c r="M41" s="57" t="n"/>
      <c r="N41" s="58" t="n"/>
    </row>
    <row r="42" ht="26" customHeight="1" s="50">
      <c r="A42" s="57" t="n"/>
      <c r="B42" s="58" t="n"/>
      <c r="C42" s="57" t="n"/>
      <c r="D42" s="58" t="n"/>
      <c r="E42" s="57" t="n"/>
      <c r="F42" s="58" t="n"/>
      <c r="G42" s="57" t="n"/>
      <c r="H42" s="58" t="n"/>
      <c r="I42" s="57" t="n"/>
      <c r="J42" s="58" t="n"/>
      <c r="K42" s="57" t="n"/>
      <c r="L42" s="58" t="n"/>
      <c r="M42" s="57" t="n"/>
      <c r="N42" s="58" t="n"/>
    </row>
    <row r="43" ht="26" customHeight="1" s="50">
      <c r="A43" s="59" t="n"/>
      <c r="B43" s="61" t="n"/>
      <c r="C43" s="59" t="n"/>
      <c r="D43" s="61" t="n"/>
      <c r="E43" s="59" t="n"/>
      <c r="F43" s="61" t="n"/>
      <c r="G43" s="59" t="n"/>
      <c r="H43" s="61" t="n"/>
      <c r="I43" s="59" t="n"/>
      <c r="J43" s="61" t="n"/>
      <c r="K43" s="59" t="n"/>
      <c r="L43" s="61" t="n"/>
      <c r="M43" s="59" t="n"/>
      <c r="N43" s="61" t="n"/>
    </row>
    <row r="45" ht="24" customHeight="1" s="50">
      <c r="A45" s="109" t="inlineStr">
        <is>
          <t>Week 6 · 2026-11-02 to 2026-11-02</t>
        </is>
      </c>
      <c r="B45" s="100" t="n"/>
      <c r="C45" s="100" t="n"/>
      <c r="D45" s="100" t="n"/>
      <c r="E45" s="100" t="n"/>
      <c r="F45" s="100" t="n"/>
      <c r="G45" s="100" t="n"/>
      <c r="H45" s="100" t="n"/>
      <c r="I45" s="100" t="n"/>
      <c r="J45" s="100" t="n"/>
      <c r="K45" s="100" t="n"/>
      <c r="L45" s="100" t="n"/>
      <c r="M45" s="100" t="n"/>
      <c r="N45" s="101" t="n"/>
    </row>
    <row r="46" ht="24" customHeight="1" s="50">
      <c r="A46" s="102" t="inlineStr">
        <is>
          <t>Mon 2 Nov</t>
        </is>
      </c>
      <c r="B46" s="101" t="n"/>
      <c r="C46" s="102" t="n"/>
      <c r="D46" s="101" t="n"/>
      <c r="E46" s="102" t="n"/>
      <c r="F46" s="101" t="n"/>
      <c r="G46" s="102" t="n"/>
      <c r="H46" s="101" t="n"/>
      <c r="I46" s="102" t="n"/>
      <c r="J46" s="101" t="n"/>
      <c r="K46" s="102" t="n"/>
      <c r="L46" s="101" t="n"/>
      <c r="M46" s="102" t="n"/>
      <c r="N46" s="101" t="n"/>
    </row>
    <row r="47" ht="26" customHeight="1" s="50">
      <c r="A47" s="10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56" t="n"/>
      <c r="C47" s="110" t="n"/>
      <c r="D47" s="56" t="n"/>
      <c r="E47" s="110" t="n"/>
      <c r="F47" s="56" t="n"/>
      <c r="G47" s="110" t="n"/>
      <c r="H47" s="56" t="n"/>
      <c r="I47" s="110" t="n"/>
      <c r="J47" s="56" t="n"/>
      <c r="K47" s="110" t="n"/>
      <c r="L47" s="56" t="n"/>
      <c r="M47" s="110" t="n"/>
      <c r="N47" s="56" t="n"/>
    </row>
    <row r="48" ht="26" customHeight="1" s="50">
      <c r="A48" s="57" t="n"/>
      <c r="B48" s="58" t="n"/>
      <c r="C48" s="57" t="n"/>
      <c r="D48" s="58" t="n"/>
      <c r="E48" s="57" t="n"/>
      <c r="F48" s="58" t="n"/>
      <c r="G48" s="57" t="n"/>
      <c r="H48" s="58" t="n"/>
      <c r="I48" s="57" t="n"/>
      <c r="J48" s="58" t="n"/>
      <c r="K48" s="57" t="n"/>
      <c r="L48" s="58" t="n"/>
      <c r="M48" s="57" t="n"/>
      <c r="N48" s="58" t="n"/>
    </row>
    <row r="49" ht="26" customHeight="1" s="50">
      <c r="A49" s="57" t="n"/>
      <c r="B49" s="58" t="n"/>
      <c r="C49" s="57" t="n"/>
      <c r="D49" s="58" t="n"/>
      <c r="E49" s="57" t="n"/>
      <c r="F49" s="58" t="n"/>
      <c r="G49" s="57" t="n"/>
      <c r="H49" s="58" t="n"/>
      <c r="I49" s="57" t="n"/>
      <c r="J49" s="58" t="n"/>
      <c r="K49" s="57" t="n"/>
      <c r="L49" s="58" t="n"/>
      <c r="M49" s="57" t="n"/>
      <c r="N49" s="58" t="n"/>
    </row>
    <row r="50" ht="26" customHeight="1" s="50">
      <c r="A50" s="57" t="n"/>
      <c r="B50" s="58" t="n"/>
      <c r="C50" s="57" t="n"/>
      <c r="D50" s="58" t="n"/>
      <c r="E50" s="57" t="n"/>
      <c r="F50" s="58" t="n"/>
      <c r="G50" s="57" t="n"/>
      <c r="H50" s="58" t="n"/>
      <c r="I50" s="57" t="n"/>
      <c r="J50" s="58" t="n"/>
      <c r="K50" s="57" t="n"/>
      <c r="L50" s="58" t="n"/>
      <c r="M50" s="57" t="n"/>
      <c r="N50" s="58" t="n"/>
    </row>
    <row r="51" ht="26" customHeight="1" s="50">
      <c r="A51" s="59" t="n"/>
      <c r="B51" s="61" t="n"/>
      <c r="C51" s="59" t="n"/>
      <c r="D51" s="61" t="n"/>
      <c r="E51" s="59" t="n"/>
      <c r="F51" s="61" t="n"/>
      <c r="G51" s="59" t="n"/>
      <c r="H51" s="61" t="n"/>
      <c r="I51" s="59" t="n"/>
      <c r="J51" s="61" t="n"/>
      <c r="K51" s="59" t="n"/>
      <c r="L51" s="61" t="n"/>
      <c r="M51" s="59" t="n"/>
      <c r="N51" s="6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B8794"/>
    <outlinePr summaryBelow="1" summaryRight="1"/>
    <pageSetUpPr fitToPage="0"/>
  </sheetPr>
  <dimension ref="A2:C2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5" customWidth="1" style="49" min="1" max="1"/>
    <col width="65" customWidth="1" style="49" min="2" max="3"/>
  </cols>
  <sheetData>
    <row r="2" ht="19.7" customHeight="1" s="50">
      <c r="A2" s="51" t="inlineStr">
        <is>
          <t>Plain-English glossary</t>
        </is>
      </c>
    </row>
    <row r="3" ht="15" customHeight="1" s="50">
      <c r="A3" s="52" t="inlineStr">
        <is>
          <t>You are not expected to memorise these words. Look here whenever the plan uses one you do not know.</t>
        </is>
      </c>
    </row>
    <row r="5" ht="15" customHeight="1" s="50">
      <c r="A5" s="111" t="inlineStr">
        <is>
          <t>Term</t>
        </is>
      </c>
      <c r="B5" s="111" t="inlineStr">
        <is>
          <t>What it means</t>
        </is>
      </c>
      <c r="C5" s="111" t="inlineStr">
        <is>
          <t>Why you care</t>
        </is>
      </c>
    </row>
    <row r="6" ht="48" customHeight="1" s="50">
      <c r="A6" s="112" t="inlineStr">
        <is>
          <t>AI handoff</t>
        </is>
      </c>
      <c r="B6" s="112" t="inlineStr">
        <is>
          <t>The morning prompt pasted into Codex so it can do technical work while you are unavailable.</t>
        </is>
      </c>
      <c r="C6" s="112" t="inlineStr">
        <is>
          <t>It turns a few morning minutes into a prepared evening test.</t>
        </is>
      </c>
    </row>
    <row r="7" ht="48" customHeight="1" s="50">
      <c r="A7" s="87" t="inlineStr">
        <is>
          <t>Scope freeze</t>
        </is>
      </c>
      <c r="B7" s="87" t="inlineStr">
        <is>
          <t>No new launch features; only work needed to make the agreed product safe and honest.</t>
        </is>
      </c>
      <c r="C7" s="87" t="inlineStr">
        <is>
          <t>It protects the target from nonessential ideas.</t>
        </is>
      </c>
    </row>
    <row r="8" ht="48" customHeight="1" s="50">
      <c r="A8" s="87" t="inlineStr">
        <is>
          <t>QA</t>
        </is>
      </c>
      <c r="B8" s="87" t="inlineStr">
        <is>
          <t>Deliberately testing the product and recording what passed or failed.</t>
        </is>
      </c>
      <c r="C8" s="87" t="inlineStr">
        <is>
          <t>It prevents customers discovering serious problems after paying.</t>
        </is>
      </c>
    </row>
    <row r="9" ht="48" customHeight="1" s="50">
      <c r="A9" s="87" t="inlineStr">
        <is>
          <t>Smoke test</t>
        </is>
      </c>
      <c r="B9" s="87" t="inlineStr">
        <is>
          <t>A short critical-path test: sign in, open, write, save, and export.</t>
        </is>
      </c>
      <c r="C9" s="87" t="inlineStr">
        <is>
          <t>If it fails, deeper work pauses until basics are repaired.</t>
        </is>
      </c>
    </row>
    <row r="10" ht="48" customHeight="1" s="50">
      <c r="A10" s="87" t="inlineStr">
        <is>
          <t>Production</t>
        </is>
      </c>
      <c r="B10" s="87" t="inlineStr">
        <is>
          <t>The live YOW service and real customer data.</t>
        </is>
      </c>
      <c r="C10" s="87" t="inlineStr">
        <is>
          <t>Actions here can affect real people.</t>
        </is>
      </c>
    </row>
    <row r="11" ht="48" customHeight="1" s="50">
      <c r="A11" s="87" t="inlineStr">
        <is>
          <t>Database migration</t>
        </is>
      </c>
      <c r="B11" s="87" t="inlineStr">
        <is>
          <t>A versioned instruction changing database structure, functions, or security rules.</t>
        </is>
      </c>
      <c r="C11" s="87" t="inlineStr">
        <is>
          <t>It must be verified and reversible.</t>
        </is>
      </c>
    </row>
    <row r="12" ht="48" customHeight="1" s="50">
      <c r="A12" s="87" t="inlineStr">
        <is>
          <t>RLS</t>
        </is>
      </c>
      <c r="B12" s="87" t="inlineStr">
        <is>
          <t>Database rules deciding which user may read or change each row.</t>
        </is>
      </c>
      <c r="C12" s="87" t="inlineStr">
        <is>
          <t>It prevents customers seeing each other's data.</t>
        </is>
      </c>
    </row>
    <row r="13" ht="48" customHeight="1" s="50">
      <c r="A13" s="87" t="inlineStr">
        <is>
          <t>Stripe test mode</t>
        </is>
      </c>
      <c r="B13" s="87" t="inlineStr">
        <is>
          <t>A safe Stripe environment using pretend cards and no real money.</t>
        </is>
      </c>
      <c r="C13" s="87" t="inlineStr">
        <is>
          <t>Payment behaviour must pass here before checkout is live.</t>
        </is>
      </c>
    </row>
    <row r="14" ht="48" customHeight="1" s="50">
      <c r="A14" s="87" t="inlineStr">
        <is>
          <t>Webhook</t>
        </is>
      </c>
      <c r="B14" s="87" t="inlineStr">
        <is>
          <t>A signed message Stripe sends YOW after a payment event.</t>
        </is>
      </c>
      <c r="C14" s="87" t="inlineStr">
        <is>
          <t>It changes paid access.</t>
        </is>
      </c>
    </row>
    <row r="15" ht="48" customHeight="1" s="50">
      <c r="A15" s="87" t="inlineStr">
        <is>
          <t>Entitlement</t>
        </is>
      </c>
      <c r="B15" s="87" t="inlineStr">
        <is>
          <t>The server-controlled record of features a plan allows.</t>
        </is>
      </c>
      <c r="C15" s="87" t="inlineStr">
        <is>
          <t>Customers receive exactly what they paid for.</t>
        </is>
      </c>
    </row>
    <row r="16" ht="48" customHeight="1" s="50">
      <c r="A16" s="87" t="inlineStr">
        <is>
          <t>Release candidate</t>
        </is>
      </c>
      <c r="B16" s="87" t="inlineStr">
        <is>
          <t>The exact build proposed for launch after feature work stops.</t>
        </is>
      </c>
      <c r="C16" s="87" t="inlineStr">
        <is>
          <t>Only blockers should alter it.</t>
        </is>
      </c>
    </row>
    <row r="17" ht="48" customHeight="1" s="50">
      <c r="A17" s="87" t="inlineStr">
        <is>
          <t>Hard gate</t>
        </is>
      </c>
      <c r="B17" s="87" t="inlineStr">
        <is>
          <t>A safety or business check that must pass before launch proceeds.</t>
        </is>
      </c>
      <c r="C17" s="87" t="inlineStr">
        <is>
          <t>Failure moves the date; it is never skipped.</t>
        </is>
      </c>
    </row>
    <row r="18" ht="48" customHeight="1" s="50">
      <c r="A18" s="87" t="inlineStr">
        <is>
          <t>Rollback</t>
        </is>
      </c>
      <c r="B18" s="87" t="inlineStr">
        <is>
          <t>Return production to its previous known-good version.</t>
        </is>
      </c>
      <c r="C18" s="87" t="inlineStr">
        <is>
          <t>It is the safe exit when launch differs from rehearsal.</t>
        </is>
      </c>
    </row>
    <row r="19" ht="48" customHeight="1" s="50">
      <c r="A19" s="87" t="inlineStr">
        <is>
          <t>Quiet release</t>
        </is>
      </c>
      <c r="B19" s="87" t="inlineStr">
        <is>
          <t>Checkout is live but ads are not; one real purchase proves the full path.</t>
        </is>
      </c>
      <c r="C19" s="87" t="inlineStr">
        <is>
          <t>It catches production-only problems before traffic arrives.</t>
        </is>
      </c>
    </row>
    <row r="20" ht="48" customHeight="1" s="50">
      <c r="A20" s="87" t="inlineStr">
        <is>
          <t>Public launch</t>
        </is>
      </c>
      <c r="B20" s="87" t="inlineStr">
        <is>
          <t>The healthy product is announced and marketing begins.</t>
        </is>
      </c>
      <c r="C20" s="87" t="inlineStr">
        <is>
          <t>People seeing an ad can buy immediately.</t>
        </is>
      </c>
    </row>
    <row r="21" ht="48" customHeight="1" s="50">
      <c r="A21" s="87" t="inlineStr">
        <is>
          <t>Beta closure</t>
        </is>
      </c>
      <c r="B21" s="87" t="inlineStr">
        <is>
          <t>Stop offering Beta to new people while preserving existing testers' agreed access and exports.</t>
        </is>
      </c>
      <c r="C21" s="87" t="inlineStr">
        <is>
          <t>It changes the offer without abruptly locking people out.</t>
        </is>
      </c>
    </row>
    <row r="22" ht="48" customHeight="1" s="50">
      <c r="A22" s="113" t="inlineStr">
        <is>
          <t>Evidence</t>
        </is>
      </c>
      <c r="B22" s="113" t="inlineStr">
        <is>
          <t>A result, screenshot, log, file, or observation showing what happened.</t>
        </is>
      </c>
      <c r="C22" s="113" t="inlineStr">
        <is>
          <t>Done means proven, not attempted.</t>
        </is>
      </c>
    </row>
  </sheetData>
  <mergeCells count="2">
    <mergeCell ref="A3:C3"/>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9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0" customWidth="1" style="49" min="1" max="1"/>
    <col width="95" customWidth="1" style="49" min="2" max="2"/>
    <col width="50" customWidth="1" style="49" min="3" max="3"/>
    <col width="14" customWidth="1" style="49" min="4" max="4"/>
  </cols>
  <sheetData>
    <row r="1" ht="16.15" customHeight="1" s="50">
      <c r="A1" s="63" t="inlineStr">
        <is>
          <t>Roadmap alignment — every open roadmap / QA-plan item and the day it is scheduled (docs/ROADMAP.md "Sprint alignment" is the canonical copy)</t>
        </is>
      </c>
    </row>
    <row r="3" ht="15" customHeight="1" s="50">
      <c r="A3" s="114" t="inlineStr">
        <is>
          <t>Launch Readiness Gate</t>
        </is>
      </c>
    </row>
    <row r="4" ht="15" customHeight="1" s="50">
      <c r="A4" s="64" t="inlineStr">
        <is>
          <t>Gate</t>
        </is>
      </c>
      <c r="B4" s="64" t="inlineStr">
        <is>
          <t>How the sprint closes it</t>
        </is>
      </c>
      <c r="C4" s="64" t="inlineStr">
        <is>
          <t>Closing day</t>
        </is>
      </c>
    </row>
    <row r="5" ht="23.85" customHeight="1" s="50">
      <c r="A5" s="65" t="inlineStr">
        <is>
          <t>Scope gate</t>
        </is>
      </c>
      <c r="B5" s="65" t="inlineStr">
        <is>
          <t>Desktop workspace built and verified (6-11 and 17 Oct); every Launch Required and To Be Implemented row closed by 16 Oct or explicitly moved to Future/Excluded</t>
        </is>
      </c>
      <c r="C5" s="65" t="inlineStr">
        <is>
          <t>Fri 16 Oct</t>
        </is>
      </c>
    </row>
    <row r="6" ht="15" customHeight="1" s="50">
      <c r="A6" s="65" t="inlineStr">
        <is>
          <t>Project-type gate</t>
        </is>
      </c>
      <c r="B6" s="65" t="inlineStr">
        <is>
          <t>All six types pass create -&gt; write -&gt; export (12-15 Oct); AI behaviour per type (19-20 Oct)</t>
        </is>
      </c>
      <c r="C6" s="65" t="inlineStr">
        <is>
          <t>Tue 20 Oct</t>
        </is>
      </c>
    </row>
    <row r="7" ht="15" customHeight="1" s="50">
      <c r="A7" s="65" t="inlineStr">
        <is>
          <t>Data safety gate</t>
        </is>
      </c>
      <c r="B7" s="65" t="inlineStr">
        <is>
          <t>Auth, save, restore, isolation, storage-limit and local/cloud transition evidence (1-5 Oct)</t>
        </is>
      </c>
      <c r="C7" s="65" t="inlineStr">
        <is>
          <t>Mon 5 Oct</t>
        </is>
      </c>
    </row>
    <row r="8" ht="15" customHeight="1" s="50">
      <c r="A8" s="65" t="inlineStr">
        <is>
          <t>Export ownership gate</t>
        </is>
      </c>
      <c r="B8" s="65" t="inlineStr">
        <is>
          <t>ZIP/DOCX/PDF/World Bible readable and private, including expiry access (2 and 4-5 Oct)</t>
        </is>
      </c>
      <c r="C8" s="65" t="inlineStr">
        <is>
          <t>Mon 5 Oct</t>
        </is>
      </c>
    </row>
    <row r="9" ht="15" customHeight="1" s="50">
      <c r="A9" s="65" t="inlineStr">
        <is>
          <t>Payment gate</t>
        </is>
      </c>
      <c r="B9" s="65" t="inlineStr">
        <is>
          <t>Stripe test-mode journey passes (21-23 Oct), live config reviewed without purchase (24-25 Oct)</t>
        </is>
      </c>
      <c r="C9" s="65" t="inlineStr">
        <is>
          <t>Sat 24 Oct</t>
        </is>
      </c>
    </row>
    <row r="10" ht="15" customHeight="1" s="50">
      <c r="A10" s="65" t="inlineStr">
        <is>
          <t>Legal and promise gate</t>
        </is>
      </c>
      <c r="B10" s="65" t="inlineStr">
        <is>
          <t>Copy, Terms, Privacy and behaviour reconciled and approved (21 Oct)</t>
        </is>
      </c>
      <c r="C10" s="65" t="inlineStr">
        <is>
          <t>Wed 21 Oct</t>
        </is>
      </c>
    </row>
    <row r="11" ht="15" customHeight="1" s="50">
      <c r="A11" s="65" t="inlineStr">
        <is>
          <t>Responsive gate</t>
        </is>
      </c>
      <c r="B11" s="65" t="inlineStr">
        <is>
          <t>375/768/desktop, Safari/Firefox, real iPhone, keyboard and screen reader (18 Oct)</t>
        </is>
      </c>
      <c r="C11" s="65" t="inlineStr">
        <is>
          <t>Sun 18 Oct</t>
        </is>
      </c>
    </row>
    <row r="12" ht="15" customHeight="1" s="50">
      <c r="A12" s="65" t="inlineStr">
        <is>
          <t>Performance gate</t>
        </is>
      </c>
      <c r="B12" s="65" t="inlineStr">
        <is>
          <t>Bundle/route budgets and realistic large-project load (18 Oct); decision D1</t>
        </is>
      </c>
      <c r="C12" s="65" t="inlineStr">
        <is>
          <t>Sun 18 Oct</t>
        </is>
      </c>
    </row>
    <row r="13" ht="15" customHeight="1" s="50">
      <c r="A13" s="65" t="inlineStr">
        <is>
          <t>Marketing gate</t>
        </is>
      </c>
      <c r="B13" s="65" t="inlineStr">
        <is>
          <t>Passed 24 Sep for its defined scope; re-verified after copy changes (21 and 24 Oct)</t>
        </is>
      </c>
      <c r="C13" s="65" t="inlineStr">
        <is>
          <t>Sat 24 Oct</t>
        </is>
      </c>
    </row>
    <row r="15" ht="15" customHeight="1" s="50">
      <c r="A15" s="114" t="inlineStr">
        <is>
          <t>Item-by-item</t>
        </is>
      </c>
    </row>
    <row r="16" ht="15" customHeight="1" s="50">
      <c r="A16" s="64" t="inlineStr">
        <is>
          <t>Day</t>
        </is>
      </c>
      <c r="B16" s="64" t="inlineStr">
        <is>
          <t>Item</t>
        </is>
      </c>
      <c r="C16" s="64" t="inlineStr">
        <is>
          <t>Source in roadmap / QA plan</t>
        </is>
      </c>
      <c r="D16" s="64" t="inlineStr">
        <is>
          <t>Needs owner?</t>
        </is>
      </c>
    </row>
    <row r="17" ht="15" customHeight="1" s="50">
      <c r="A17" s="65" t="inlineStr">
        <is>
          <t>Thu 1 Oct</t>
        </is>
      </c>
      <c r="B17" s="65" t="inlineStr">
        <is>
          <t>Web idle-logout (24h) live-check script: force stale timestamp, confirm clean sign-out without data loss</t>
        </is>
      </c>
      <c r="C17" s="65" t="inlineStr">
        <is>
          <t>QA_PLAN Priority 1 / Launch Required: Web idle logout</t>
        </is>
      </c>
      <c r="D17" s="65" t="inlineStr">
        <is>
          <t>AI-only</t>
        </is>
      </c>
    </row>
    <row r="18" ht="23.85" customHeight="1" s="50">
      <c r="A18" s="65" t="inlineStr">
        <is>
          <t>Thu 1 Oct</t>
        </is>
      </c>
      <c r="B18" s="65" t="inlineStr">
        <is>
          <t>Canonical-host redirect verification (bare domain -&gt; www; path+query preserved; cross-tab auth) script and result</t>
        </is>
      </c>
      <c r="C18" s="65" t="inlineStr">
        <is>
          <t>QA_PLAN Priority 1 / Bugs: bare-domain vs www login</t>
        </is>
      </c>
      <c r="D18" s="65" t="inlineStr">
        <is>
          <t>AI-only</t>
        </is>
      </c>
    </row>
    <row r="19" ht="15" customHeight="1" s="50">
      <c r="A19" s="65" t="inlineStr">
        <is>
          <t>Thu 1 Oct</t>
        </is>
      </c>
      <c r="B19" s="65" t="inlineStr">
        <is>
          <t>Deployed security-header check (CSP, HSTS, nosniff, frame, referrer) if not already evidenced on 5 Oct</t>
        </is>
      </c>
      <c r="C19" s="65" t="inlineStr">
        <is>
          <t>QA_PLAN Priority 11 / Security: baseline headers</t>
        </is>
      </c>
      <c r="D19" s="65" t="inlineStr">
        <is>
          <t>AI-only</t>
        </is>
      </c>
    </row>
    <row r="20" ht="15" customHeight="1" s="50">
      <c r="A20" s="65" t="inlineStr">
        <is>
          <t>Fri 2 Oct</t>
        </is>
      </c>
      <c r="B20" s="65" t="inlineStr">
        <is>
          <t>DOCX single line-break vs blank-line paragraph fidelity, checked by opening in real Word and Google Docs</t>
        </is>
      </c>
      <c r="C20" s="65" t="inlineStr">
        <is>
          <t>Bugs: manuscript line breaks in DOCX</t>
        </is>
      </c>
      <c r="D20" s="65" t="inlineStr">
        <is>
          <t>AI-only</t>
        </is>
      </c>
    </row>
    <row r="21" ht="15" customHeight="1" s="50">
      <c r="A21" s="65" t="inlineStr">
        <is>
          <t>Fri 2 Oct</t>
        </is>
      </c>
      <c r="B21" s="65" t="inlineStr">
        <is>
          <t>AI chat saved as project entry and exported to Word (full chat panel path, not just bottom bar)</t>
        </is>
      </c>
      <c r="C21" s="65" t="inlineStr">
        <is>
          <t>Bugs: AI chats not durable/exportable</t>
        </is>
      </c>
      <c r="D21" s="65" t="inlineStr">
        <is>
          <t>AI-only</t>
        </is>
      </c>
    </row>
    <row r="22" ht="15" customHeight="1" s="50">
      <c r="A22" s="65" t="inlineStr">
        <is>
          <t>Fri 2 Oct</t>
        </is>
      </c>
      <c r="B22" s="65" t="inlineStr">
        <is>
          <t>World Bible / visual PDF/HTML encyclopedia output inspected for all six project types</t>
        </is>
      </c>
      <c r="C22" s="65" t="inlineStr">
        <is>
          <t>QA Needed: World Bible export path</t>
        </is>
      </c>
      <c r="D22" s="65" t="inlineStr">
        <is>
          <t>AI-only</t>
        </is>
      </c>
    </row>
    <row r="23" ht="23.85" customHeight="1" s="50">
      <c r="A23" s="65" t="inlineStr">
        <is>
          <t>Sat 3 Oct</t>
        </is>
      </c>
      <c r="B23" s="65" t="inlineStr">
        <is>
          <t>Confirm scene-revision migration is applied in production and the legacy-projection fallback is no longer needed</t>
        </is>
      </c>
      <c r="C23" s="65" t="inlineStr">
        <is>
          <t>Bugs: scene-concurrency projects failed to load</t>
        </is>
      </c>
      <c r="D23" s="65" t="inlineStr">
        <is>
          <t>AI-only</t>
        </is>
      </c>
    </row>
    <row r="24" ht="23.85" customHeight="1" s="50">
      <c r="A24" s="65" t="inlineStr">
        <is>
          <t>Sat 3 Oct</t>
        </is>
      </c>
      <c r="B24" s="65" t="inlineStr">
        <is>
          <t>Replay every committed migration on an empty Supabase project with no manual SQL; reconcile migration history; dry-run push</t>
        </is>
      </c>
      <c r="C24" s="65" t="inlineStr">
        <is>
          <t>QA_PLAN Priority -1: Database and server continuity</t>
        </is>
      </c>
      <c r="D24" s="65" t="inlineStr">
        <is>
          <t>AI-only</t>
        </is>
      </c>
    </row>
    <row r="25" ht="15" customHeight="1" s="50">
      <c r="A25" s="65" t="inlineStr">
        <is>
          <t>Sat 3 Oct</t>
        </is>
      </c>
      <c r="B25" s="65" t="inlineStr">
        <is>
          <t>Two-account global-ID collision attempts against every normalized table</t>
        </is>
      </c>
      <c r="C25" s="65" t="inlineStr">
        <is>
          <t>QA_PLAN Priority -1: Database and server continuity</t>
        </is>
      </c>
      <c r="D25" s="65" t="inlineStr">
        <is>
          <t>AI-only</t>
        </is>
      </c>
    </row>
    <row r="26" ht="23.85" customHeight="1" s="50">
      <c r="A26" s="65" t="inlineStr">
        <is>
          <t>Sat 3 Oct</t>
        </is>
      </c>
      <c r="B26" s="65" t="inlineStr">
        <is>
          <t>Deploy only the authoritative Vercel billing stack; retire/quarantine the drifted legacy Supabase Edge Function Stripe copies</t>
        </is>
      </c>
      <c r="C26" s="65" t="inlineStr">
        <is>
          <t>PAYMENT_ROADMAP 2026-10-02 note / QA_PLAN Priority -1</t>
        </is>
      </c>
      <c r="D26" s="65" t="inlineStr">
        <is>
          <t>AI-only</t>
        </is>
      </c>
    </row>
    <row r="27" ht="15" customHeight="1" s="50">
      <c r="A27" s="65" t="inlineStr">
        <is>
          <t>Sat 3 Oct</t>
        </is>
      </c>
      <c r="B27" s="65" t="inlineStr">
        <is>
          <t>Verify .env.example + runbook can stand up a disposable environment with no browser-exposed provider keys</t>
        </is>
      </c>
      <c r="C27" s="65" t="inlineStr">
        <is>
          <t>QA_PLAN Priority -1</t>
        </is>
      </c>
      <c r="D27" s="65" t="inlineStr">
        <is>
          <t>AI-only</t>
        </is>
      </c>
    </row>
    <row r="28" ht="15" customHeight="1" s="50">
      <c r="A28" s="65" t="inlineStr">
        <is>
          <t>Sat 3 Oct</t>
        </is>
      </c>
      <c r="B28" s="65" t="inlineStr">
        <is>
          <t>Scene cleanup on project delete: prepare read-only Supabase check that no scene rows remain</t>
        </is>
      </c>
      <c r="C28" s="65" t="inlineStr">
        <is>
          <t>QA_PLAN Priority 1: Scene cleanup on project delete</t>
        </is>
      </c>
      <c r="D28" s="65" t="inlineStr">
        <is>
          <t>O03</t>
        </is>
      </c>
    </row>
    <row r="29" ht="35.05" customHeight="1" s="50">
      <c r="A29" s="65" t="inlineStr">
        <is>
          <t>Sat 3 Oct</t>
        </is>
      </c>
      <c r="B29" s="6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65" t="inlineStr">
        <is>
          <t>Security table / owner 2026-09-30</t>
        </is>
      </c>
      <c r="D29" s="65" t="inlineStr">
        <is>
          <t>AI-only</t>
        </is>
      </c>
    </row>
    <row r="30" ht="15" customHeight="1" s="50">
      <c r="A30" s="65" t="inlineStr">
        <is>
          <t>Sun 4 Oct</t>
        </is>
      </c>
      <c r="B30" s="65" t="inlineStr">
        <is>
          <t>Entitlement negative matrix: Free user cannot write plan/status/Founder/Lifetime/Stripe fields via any path</t>
        </is>
      </c>
      <c r="C30" s="65" t="inlineStr">
        <is>
          <t>QA_PLAN Priority -1: Secrets and authorization</t>
        </is>
      </c>
      <c r="D30" s="65" t="inlineStr">
        <is>
          <t>AI-only</t>
        </is>
      </c>
    </row>
    <row r="31" ht="23.85" customHeight="1" s="50">
      <c r="A31" s="65" t="inlineStr">
        <is>
          <t>Sun 4 Oct</t>
        </is>
      </c>
      <c r="B31" s="65" t="inlineStr">
        <is>
          <t>Durable rate-limit live checks (AI proxy, feedback, paid-interest, email actions): 6th request 429s, window clears</t>
        </is>
      </c>
      <c r="C31" s="65" t="inlineStr">
        <is>
          <t>Security: durable rate limits / QA_PLAN Priority -1</t>
        </is>
      </c>
      <c r="D31" s="65" t="inlineStr">
        <is>
          <t>O05</t>
        </is>
      </c>
    </row>
    <row r="32" ht="23.85" customHeight="1" s="50">
      <c r="A32" s="65" t="inlineStr">
        <is>
          <t>Sun 4 Oct</t>
        </is>
      </c>
      <c r="B32" s="65" t="inlineStr">
        <is>
          <t>Queued-storage fault injection: IndexedDB/SQLite open, quota, disk-full, corruption, close-during-write; UI never says Saved before durable</t>
        </is>
      </c>
      <c r="C32" s="65" t="inlineStr">
        <is>
          <t>Security P0-07 / QA_PLAN Priority -1: Data durability</t>
        </is>
      </c>
      <c r="D32" s="65" t="inlineStr">
        <is>
          <t>AI-only</t>
        </is>
      </c>
    </row>
    <row r="33" ht="23.85" customHeight="1" s="50">
      <c r="A33" s="65" t="inlineStr">
        <is>
          <t>Sun 4 Oct</t>
        </is>
      </c>
      <c r="B33" s="65" t="inlineStr">
        <is>
          <t>Legacy migration matrix: localStorage-only, IndexedDB-only, divergent, empty scenes, orphan keys, tombstones, auth tokens preserved/excluded</t>
        </is>
      </c>
      <c r="C33" s="65" t="inlineStr">
        <is>
          <t>QA_PLAN Priority -1: Data durability</t>
        </is>
      </c>
      <c r="D33" s="65" t="inlineStr">
        <is>
          <t>AI-only</t>
        </is>
      </c>
    </row>
    <row r="34" ht="15" customHeight="1" s="50">
      <c r="A34" s="65" t="inlineStr">
        <is>
          <t>Sun 4 Oct</t>
        </is>
      </c>
      <c r="B34" s="65" t="inlineStr">
        <is>
          <t>Project archive identity matrix: export/import beside original, another account, colliding IDs, every project type</t>
        </is>
      </c>
      <c r="C34" s="65" t="inlineStr">
        <is>
          <t>QA_PLAN Priority -1 / Bugs P0-06 import id collision</t>
        </is>
      </c>
      <c r="D34" s="65" t="inlineStr">
        <is>
          <t>AI-only</t>
        </is>
      </c>
    </row>
    <row r="35" ht="23.85" customHeight="1" s="50">
      <c r="A35" s="65" t="inlineStr">
        <is>
          <t>Sun 4 Oct</t>
        </is>
      </c>
      <c r="B35" s="65" t="inlineStr">
        <is>
          <t>Server-side quota enforcement bypassing the UI (MIME, size, concurrency, deletion accounting, downgrade/renewal)</t>
        </is>
      </c>
      <c r="C35" s="65" t="inlineStr">
        <is>
          <t>QA_PLAN Priority -1: Data durability</t>
        </is>
      </c>
      <c r="D35" s="65" t="inlineStr">
        <is>
          <t>AI-only</t>
        </is>
      </c>
    </row>
    <row r="36" ht="15" customHeight="1" s="50">
      <c r="A36" s="65" t="inlineStr">
        <is>
          <t>Sun 4 Oct</t>
        </is>
      </c>
      <c r="B36" s="65" t="inlineStr">
        <is>
          <t>Live two-tab structured-record clobber + nf_scene_versions cross-tab race repro (real credentialed account)</t>
        </is>
      </c>
      <c r="C36" s="65" t="inlineStr">
        <is>
          <t>Bugs: two tabs clobber edits</t>
        </is>
      </c>
      <c r="D36" s="65" t="inlineStr">
        <is>
          <t>O04</t>
        </is>
      </c>
    </row>
    <row r="37" ht="23.85" customHeight="1" s="50">
      <c r="A37" s="65" t="inlineStr">
        <is>
          <t>Sun 4 Oct</t>
        </is>
      </c>
      <c r="B37" s="65" t="inlineStr">
        <is>
          <t>Real-signup flow: first-sign-in sample project prompt, exactly one Sample Project, tour persistence, unconfigured-AI guidance</t>
        </is>
      </c>
      <c r="C37" s="65" t="inlineStr">
        <is>
          <t>QA_PLAN Priority 1: new-account sample/AI setup, brand-new unconfigured AI account</t>
        </is>
      </c>
      <c r="D37" s="65" t="inlineStr">
        <is>
          <t>O01</t>
        </is>
      </c>
    </row>
    <row r="38" ht="15" customHeight="1" s="50">
      <c r="A38" s="65" t="inlineStr">
        <is>
          <t>Sun 4 Oct</t>
        </is>
      </c>
      <c r="B38" s="65" t="inlineStr">
        <is>
          <t>Cross-browser tour/wizard persistence (fresh browser profile on established account)</t>
        </is>
      </c>
      <c r="C38" s="65" t="inlineStr">
        <is>
          <t>QA_PLAN Priority 1</t>
        </is>
      </c>
      <c r="D38" s="65" t="inlineStr">
        <is>
          <t>O01</t>
        </is>
      </c>
    </row>
    <row r="39" ht="23.85" customHeight="1" s="50">
      <c r="A39" s="65" t="inlineStr">
        <is>
          <t>Mon 5 Oct</t>
        </is>
      </c>
      <c r="B39" s="65" t="inlineStr">
        <is>
          <t>Data safety gate and Export ownership gate: write each gate's evidence summary; move a gate to Passed only with evidence, otherwise list the exact remaining blocker</t>
        </is>
      </c>
      <c r="C39" s="65" t="inlineStr">
        <is>
          <t>Launch Readiness Gate</t>
        </is>
      </c>
      <c r="D39" s="65" t="inlineStr">
        <is>
          <t>AI-only</t>
        </is>
      </c>
    </row>
    <row r="40" ht="23.85" customHeight="1" s="50">
      <c r="A40" s="65" t="inlineStr">
        <is>
          <t>Tue 6 Oct</t>
        </is>
      </c>
      <c r="B40" s="65" t="inlineStr">
        <is>
          <t>Desktop entitlement matrix: Free/Monthly/Beta desktop behaviour matches approved matrix and cannot be changed by editing cache/localStorage/user metadata</t>
        </is>
      </c>
      <c r="C40" s="65" t="inlineStr">
        <is>
          <t>QA_PLAN Priority -1: Desktop product and release</t>
        </is>
      </c>
      <c r="D40" s="65" t="inlineStr">
        <is>
          <t>AI-only</t>
        </is>
      </c>
    </row>
    <row r="41" ht="23.85" customHeight="1" s="50">
      <c r="A41" s="65" t="inlineStr">
        <is>
          <t>Tue 6 Oct</t>
        </is>
      </c>
      <c r="B41" s="65" t="inlineStr">
        <is>
          <t>Device cap is enforced (not just a dismissible toast); licence activation with 30-day advisory recheck and offline grace</t>
        </is>
      </c>
      <c r="C41" s="65" t="inlineStr">
        <is>
          <t>QA_PLAN Priority -1 / To Be Implemented: Desktop Lifetime app</t>
        </is>
      </c>
      <c r="D41" s="65" t="inlineStr">
        <is>
          <t>AI-only</t>
        </is>
      </c>
    </row>
    <row r="42" ht="23.85" customHeight="1" s="50">
      <c r="A42" s="65" t="inlineStr">
        <is>
          <t>Tue 6 Oct</t>
        </is>
      </c>
      <c r="B42" s="65" t="inlineStr">
        <is>
          <t>Platform-native commands: external links open default browser; vault reveal opens Finder on macOS and Explorer on Windows</t>
        </is>
      </c>
      <c r="C42" s="65" t="inlineStr">
        <is>
          <t>QA_PLAN Priority -1: Desktop / Security row: open_external_url</t>
        </is>
      </c>
      <c r="D42" s="65" t="inlineStr">
        <is>
          <t>AI-only</t>
        </is>
      </c>
    </row>
    <row r="43" ht="23.85" customHeight="1" s="50">
      <c r="A43" s="65" t="inlineStr">
        <is>
          <t>Tue 6 Oct</t>
        </is>
      </c>
      <c r="B43" s="65" t="inlineStr">
        <is>
          <t>Native/webview items outside the sandbox: focused-writing caret comfort, map draw/undo/PNG export, Supabase auth in WKWebView</t>
        </is>
      </c>
      <c r="C43" s="65" t="inlineStr">
        <is>
          <t>To Be Implemented: Desktop Lifetime app</t>
        </is>
      </c>
      <c r="D43" s="65" t="inlineStr">
        <is>
          <t>AI-only</t>
        </is>
      </c>
    </row>
    <row r="44" ht="23.85" customHeight="1" s="50">
      <c r="A44" s="65" t="inlineStr">
        <is>
          <t>Tue 6 Oct</t>
        </is>
      </c>
      <c r="B44" s="65" t="inlineStr">
        <is>
          <t>Desktop account-only surface replaced by full workspace: re-verify all four plans land in the workspace and device list works</t>
        </is>
      </c>
      <c r="C44" s="65" t="inlineStr">
        <is>
          <t>QA_PLAN Priority 1: Desktop account-only surface</t>
        </is>
      </c>
      <c r="D44" s="65" t="inlineStr">
        <is>
          <t>AI-only</t>
        </is>
      </c>
    </row>
    <row r="45" ht="23.85" customHeight="1" s="50">
      <c r="A45" s="65" t="inlineStr">
        <is>
          <t>Wed 7 Oct</t>
        </is>
      </c>
      <c r="B45" s="65" t="inlineStr">
        <is>
          <t>Vault relocate/locate: move to empty folder, snapshots travel, app reloads, old copy remains, bad/missing path handled</t>
        </is>
      </c>
      <c r="C45" s="65" t="inlineStr">
        <is>
          <t>QA_PLAN Priority 1: Desktop vault relocate/locate</t>
        </is>
      </c>
      <c r="D45" s="65" t="inlineStr">
        <is>
          <t>AI-only</t>
        </is>
      </c>
    </row>
    <row r="46" ht="23.85" customHeight="1" s="50">
      <c r="A46" s="65" t="inlineStr">
        <is>
          <t>Wed 7 Oct</t>
        </is>
      </c>
      <c r="B46" s="65" t="inlineStr">
        <is>
          <t>Vault privacy inspection: vault.db and every snapshot contain no Supabase session, AI key, entitlement secret or unrelated browser key; document encryption-at-rest decision</t>
        </is>
      </c>
      <c r="C46" s="65" t="inlineStr">
        <is>
          <t>QA_PLAN Priority -1 / Bugs P0-10</t>
        </is>
      </c>
      <c r="D46" s="65" t="inlineStr">
        <is>
          <t>AI-only</t>
        </is>
      </c>
    </row>
    <row r="47" ht="15" customHeight="1" s="50">
      <c r="A47" s="65" t="inlineStr">
        <is>
          <t>Wed 7 Oct</t>
        </is>
      </c>
      <c r="B47" s="65" t="inlineStr">
        <is>
          <t>Cloud-sync status UI: Syncing / Synced / failure states and Local-first manual sync controls</t>
        </is>
      </c>
      <c r="C47" s="65" t="inlineStr">
        <is>
          <t>QA_PLAN Priority 1: Desktop cloud sync status UI</t>
        </is>
      </c>
      <c r="D47" s="65" t="inlineStr">
        <is>
          <t>AI-only</t>
        </is>
      </c>
    </row>
    <row r="48" ht="23.85" customHeight="1" s="50">
      <c r="A48" s="65" t="inlineStr">
        <is>
          <t>Thu 8 Oct</t>
        </is>
      </c>
      <c r="B48" s="65" t="inlineStr">
        <is>
          <t>Map PNG export and rendered exports from the packaged desktop build (alongside ZIP/DOCX/PDF save dialogs)</t>
        </is>
      </c>
      <c r="C48" s="65" t="inlineStr">
        <is>
          <t>To Be Implemented: Desktop / Reliable map builder</t>
        </is>
      </c>
      <c r="D48" s="65" t="inlineStr">
        <is>
          <t>AI-only</t>
        </is>
      </c>
    </row>
    <row r="49" ht="23.85" customHeight="1" s="50">
      <c r="A49" s="65" t="inlineStr">
        <is>
          <t>Fri 9 Oct</t>
        </is>
      </c>
      <c r="B49" s="65" t="inlineStr">
        <is>
          <t>Cloud sync fully removed on lapse; automatic resume on renewal; Storage tab shows only 'Cloud sync unavailable' + renew CTA</t>
        </is>
      </c>
      <c r="C49" s="65" t="inlineStr">
        <is>
          <t>QA_PLAN Priority 11: cloud sync removed on lapse</t>
        </is>
      </c>
      <c r="D49" s="65" t="inlineStr">
        <is>
          <t>AI-only</t>
        </is>
      </c>
    </row>
    <row r="50" ht="23.85" customHeight="1" s="50">
      <c r="A50" s="65" t="inlineStr">
        <is>
          <t>Fri 9 Oct</t>
        </is>
      </c>
      <c r="B50" s="65" t="inlineStr">
        <is>
          <t>Renewal checkout (GBP 6 hosting) path from desktop: web cloud-required behaviour, entitlement metadata</t>
        </is>
      </c>
      <c r="C50" s="65" t="inlineStr">
        <is>
          <t>Conditional Launch Scope: Lifetime local mode and cloud hosting split</t>
        </is>
      </c>
      <c r="D50" s="65" t="inlineStr">
        <is>
          <t>AI-only</t>
        </is>
      </c>
    </row>
    <row r="51" ht="23.85" customHeight="1" s="50">
      <c r="A51" s="65" t="inlineStr">
        <is>
          <t>Sat 10 Oct</t>
        </is>
      </c>
      <c r="B51" s="65" t="inlineStr">
        <is>
          <t>Unsigned-app disclosure shown prominently before purchase (Pricing, Download, FAQ, checkout) plus Gatekeeper/SmartScreen bypass steps</t>
        </is>
      </c>
      <c r="C51" s="65" t="inlineStr">
        <is>
          <t>QA_PLAN Priority -1: unsigned Mac/Windows packages</t>
        </is>
      </c>
      <c r="D51" s="65" t="inlineStr">
        <is>
          <t>AI-only</t>
        </is>
      </c>
    </row>
    <row r="52" ht="23.85" customHeight="1" s="50">
      <c r="A52" s="65" t="inlineStr">
        <is>
          <t>Sat 10 Oct</t>
        </is>
      </c>
      <c r="B52" s="65" t="inlineStr">
        <is>
          <t>Updater manifest covers every supported platform/architecture; test bad signature, missing platform, offline, interrupted update</t>
        </is>
      </c>
      <c r="C52" s="65" t="inlineStr">
        <is>
          <t>QA_PLAN Priority -1: updater manifest</t>
        </is>
      </c>
      <c r="D52" s="65" t="inlineStr">
        <is>
          <t>AI-only</t>
        </is>
      </c>
    </row>
    <row r="53" ht="23.85" customHeight="1" s="50">
      <c r="A53" s="65" t="inlineStr">
        <is>
          <t>Sun 11 Oct</t>
        </is>
      </c>
      <c r="B53" s="65" t="inlineStr">
        <is>
          <t>Clean-machine Mac: Gatekeeper bypass steps as a customer, install, update from previous release, uninstall leaves vault intact</t>
        </is>
      </c>
      <c r="C53" s="65" t="inlineStr">
        <is>
          <t>QA_PLAN Priority -1: unsigned packages</t>
        </is>
      </c>
      <c r="D53" s="65" t="inlineStr">
        <is>
          <t>AI-only</t>
        </is>
      </c>
    </row>
    <row r="54" ht="15" customHeight="1" s="50">
      <c r="A54" s="65" t="inlineStr">
        <is>
          <t>Mon 12 Oct</t>
        </is>
      </c>
      <c r="B54" s="65" t="inlineStr">
        <is>
          <t>Daily-goal streaks: page refresh and project switching while a streak is active, at desktop/tablet/mobile widths</t>
        </is>
      </c>
      <c r="C54" s="65" t="inlineStr">
        <is>
          <t>Launch Required: Consecutive daily-goal streaks</t>
        </is>
      </c>
      <c r="D54" s="65" t="inlineStr">
        <is>
          <t>AI-only</t>
        </is>
      </c>
    </row>
    <row r="55" ht="15" customHeight="1" s="50">
      <c r="A55" s="65" t="inlineStr">
        <is>
          <t>Mon 12 Oct</t>
        </is>
      </c>
      <c r="B55" s="65" t="inlineStr">
        <is>
          <t>'Finalise draft' action appears for non-novel types and silently no-ops: hide or make it work, plus regression test</t>
        </is>
      </c>
      <c r="C55" s="65" t="inlineStr">
        <is>
          <t>Bugs 2026-09-24: Finalise draft for non-novel types</t>
        </is>
      </c>
      <c r="D55" s="65" t="inlineStr">
        <is>
          <t>AI-only</t>
        </is>
      </c>
    </row>
    <row r="56" ht="15" customHeight="1" s="50">
      <c r="A56" s="65" t="inlineStr">
        <is>
          <t>Mon 12 Oct</t>
        </is>
      </c>
      <c r="B56" s="65" t="inlineStr">
        <is>
          <t>Novella and Short Story starter templates only show their own templates; project-type gate rows for both</t>
        </is>
      </c>
      <c r="C56" s="65" t="inlineStr">
        <is>
          <t>Project Type Launch Scope</t>
        </is>
      </c>
      <c r="D56" s="65" t="inlineStr">
        <is>
          <t>AI-only</t>
        </is>
      </c>
    </row>
    <row r="57" ht="23.85" customHeight="1" s="50">
      <c r="A57" s="65" t="inlineStr">
        <is>
          <t>Tue 13 Oct</t>
        </is>
      </c>
      <c r="B57" s="65" t="inlineStr">
        <is>
          <t>D&amp;D/TTRPG project-type-aware AI behaviour (DM-side vs GM-side framing): prepare the guided checks; owner runs them with their own AI key on 19 Oct</t>
        </is>
      </c>
      <c r="C57" s="65" t="inlineStr">
        <is>
          <t>Bugs 2026-07-19: D&amp;D/TTRPG session workflow</t>
        </is>
      </c>
      <c r="D57" s="65" t="inlineStr">
        <is>
          <t>O07</t>
        </is>
      </c>
    </row>
    <row r="58" ht="15" customHeight="1" s="50">
      <c r="A58" s="65" t="inlineStr">
        <is>
          <t>Tue 13 Oct</t>
        </is>
      </c>
      <c r="B58" s="65" t="inlineStr">
        <is>
          <t>Session prep/recap persistence, default-section visibility and export for both campaign types</t>
        </is>
      </c>
      <c r="C58" s="65" t="inlineStr">
        <is>
          <t>All Project Types Live Plan</t>
        </is>
      </c>
      <c r="D58" s="65" t="inlineStr">
        <is>
          <t>AI-only</t>
        </is>
      </c>
    </row>
    <row r="59" ht="23.85" customHeight="1" s="50">
      <c r="A59" s="65" t="inlineStr">
        <is>
          <t>Wed 14 Oct</t>
        </is>
      </c>
      <c r="B59" s="65" t="inlineStr">
        <is>
          <t>Local write path / media upload: live-account upload QA well beyond the old 5-10 MB localStorage cap</t>
        </is>
      </c>
      <c r="C59" s="65" t="inlineStr">
        <is>
          <t>Launch Required: Local write path capped below paid storage promise</t>
        </is>
      </c>
      <c r="D59" s="65" t="inlineStr">
        <is>
          <t>O08</t>
        </is>
      </c>
    </row>
    <row r="60" ht="15" customHeight="1" s="50">
      <c r="A60" s="65" t="inlineStr">
        <is>
          <t>Wed 14 Oct</t>
        </is>
      </c>
      <c r="B60" s="65" t="inlineStr">
        <is>
          <t>Novel finalised-draft reader and snapshots: multiple snapshots, previous/next, non-novel hiding</t>
        </is>
      </c>
      <c r="C60" s="65" t="inlineStr">
        <is>
          <t>QA Needed: finalised draft snapshots</t>
        </is>
      </c>
      <c r="D60" s="65" t="inlineStr">
        <is>
          <t>AI-only</t>
        </is>
      </c>
    </row>
    <row r="61" ht="15" customHeight="1" s="50">
      <c r="A61" s="65" t="inlineStr">
        <is>
          <t>Wed 14 Oct</t>
        </is>
      </c>
      <c r="B61" s="65" t="inlineStr">
        <is>
          <t>Comic/Graphic Novel live-Supabase and large-project pass (browser-level QA already passed)</t>
        </is>
      </c>
      <c r="C61" s="65" t="inlineStr">
        <is>
          <t>Project Type Launch Scope: Comic</t>
        </is>
      </c>
      <c r="D61" s="65" t="inlineStr">
        <is>
          <t>AI-only</t>
        </is>
      </c>
    </row>
    <row r="62" ht="23.85" customHeight="1" s="50">
      <c r="A62" s="65" t="inlineStr">
        <is>
          <t>Thu 15 Oct</t>
        </is>
      </c>
      <c r="B62" s="65" t="inlineStr">
        <is>
          <t>Reliable map builder acceptance: persistence, grid overlay, JSON import/export, restore from ZIP, high-res PNG, undo/redo, all four map types</t>
        </is>
      </c>
      <c r="C62" s="65" t="inlineStr">
        <is>
          <t>To Be Implemented: Reliable map builder</t>
        </is>
      </c>
      <c r="D62" s="65" t="inlineStr">
        <is>
          <t>AI-only</t>
        </is>
      </c>
    </row>
    <row r="63" ht="23.85" customHeight="1" s="50">
      <c r="A63" s="65" t="inlineStr">
        <is>
          <t>Fri 16 Oct</t>
        </is>
      </c>
      <c r="B63" s="65" t="inlineStr">
        <is>
          <t>Characters: live-sync/media, stale-selection repair and rendered export; Character journey/arc tracking acceptance</t>
        </is>
      </c>
      <c r="C63" s="65" t="inlineStr">
        <is>
          <t>Launch Required: Character system / To Be Implemented</t>
        </is>
      </c>
      <c r="D63" s="65" t="inlineStr">
        <is>
          <t>AI-only</t>
        </is>
      </c>
    </row>
    <row r="64" ht="15" customHeight="1" s="50">
      <c r="A64" s="65" t="inlineStr">
        <is>
          <t>Fri 16 Oct</t>
        </is>
      </c>
      <c r="B64" s="65" t="inlineStr">
        <is>
          <t>Locations link cleanup; Lore and Timeline/History on a real synced multi-project series</t>
        </is>
      </c>
      <c r="C64" s="65" t="inlineStr">
        <is>
          <t>Launch Required: Locations, Lore, Timeline/History</t>
        </is>
      </c>
      <c r="D64" s="65" t="inlineStr">
        <is>
          <t>O09</t>
        </is>
      </c>
    </row>
    <row r="65" ht="15" customHeight="1" s="50">
      <c r="A65" s="65" t="inlineStr">
        <is>
          <t>Fri 16 Oct</t>
        </is>
      </c>
      <c r="B65" s="65" t="inlineStr">
        <is>
          <t>Character relationship mapping full-network canvas: browser and live-sync QA</t>
        </is>
      </c>
      <c r="C65" s="65" t="inlineStr">
        <is>
          <t>Conditional Launch Scope</t>
        </is>
      </c>
      <c r="D65" s="65" t="inlineStr">
        <is>
          <t>AI-only</t>
        </is>
      </c>
    </row>
    <row r="66" ht="15" customHeight="1" s="50">
      <c r="A66" s="65" t="inlineStr">
        <is>
          <t>Fri 16 Oct</t>
        </is>
      </c>
      <c r="B66" s="65" t="inlineStr">
        <is>
          <t>Factions, family groups and Founders directory acceptance</t>
        </is>
      </c>
      <c r="C66" s="65" t="inlineStr">
        <is>
          <t>QA Needed: Factions/family; Founders directory</t>
        </is>
      </c>
      <c r="D66" s="65" t="inlineStr">
        <is>
          <t>AI-only</t>
        </is>
      </c>
    </row>
    <row r="67" ht="23.85" customHeight="1" s="50">
      <c r="A67" s="65" t="inlineStr">
        <is>
          <t>Fri 16 Oct</t>
        </is>
      </c>
      <c r="B67" s="65" t="inlineStr">
        <is>
          <t>Series management and cross-project references; configurable Schedule calendar; Focused writing mode; AI Import for all six types</t>
        </is>
      </c>
      <c r="C67" s="65" t="inlineStr">
        <is>
          <t>To Be Implemented</t>
        </is>
      </c>
      <c r="D67" s="65" t="inlineStr">
        <is>
          <t>AI-only</t>
        </is>
      </c>
    </row>
    <row r="68" ht="23.85" customHeight="1" s="50">
      <c r="A68" s="65" t="inlineStr">
        <is>
          <t>Fri 16 Oct</t>
        </is>
      </c>
      <c r="B68" s="65" t="inlineStr">
        <is>
          <t>Fresh mobile pass on modals/overlays; AI suggestion mode; theme customisation; corner-roundness save-to-profile</t>
        </is>
      </c>
      <c r="C68" s="65" t="inlineStr">
        <is>
          <t>Conditional Launch Scope / QA Needed / QA_PLAN Priority 1</t>
        </is>
      </c>
      <c r="D68" s="65" t="inlineStr">
        <is>
          <t>AI-only</t>
        </is>
      </c>
    </row>
    <row r="69" ht="23.85" customHeight="1" s="50">
      <c r="A69" s="65" t="inlineStr">
        <is>
          <t>Sat 17 Oct</t>
        </is>
      </c>
      <c r="B69" s="65" t="inlineStr">
        <is>
          <t>Windows: SmartScreen bypass steps, WebView2 install, Explorer reveal, updater, uninstall; close Desktop Gate and the desktop row of the Scope gate</t>
        </is>
      </c>
      <c r="C69" s="65" t="inlineStr">
        <is>
          <t>QA_PLAN Priority -1 / Scope gate</t>
        </is>
      </c>
      <c r="D69" s="65" t="inlineStr">
        <is>
          <t>O06</t>
        </is>
      </c>
    </row>
    <row r="70" ht="23.85" customHeight="1" s="50">
      <c r="A70" s="65" t="inlineStr">
        <is>
          <t>Sun 18 Oct</t>
        </is>
      </c>
      <c r="B70" s="65" t="inlineStr">
        <is>
          <t>Performance budgets: route/bundle budgets set and met; cold/warm load on low/mid hardware with a realistic 80k+ word project</t>
        </is>
      </c>
      <c r="C70" s="65" t="inlineStr">
        <is>
          <t>Performance gate / QA_PLAN Priority -1</t>
        </is>
      </c>
      <c r="D70" s="65" t="inlineStr">
        <is>
          <t>AI-only</t>
        </is>
      </c>
    </row>
    <row r="71" ht="15" customHeight="1" s="50">
      <c r="A71" s="65" t="inlineStr">
        <is>
          <t>Sun 18 Oct</t>
        </is>
      </c>
      <c r="B71" s="65" t="inlineStr">
        <is>
          <t>Very large single scene with a note attached: fix or ship a documented limit (see Decisions D1)</t>
        </is>
      </c>
      <c r="C71" s="65" t="inlineStr">
        <is>
          <t>Bugs 2026-08-08: very large scene typing lag</t>
        </is>
      </c>
      <c r="D71" s="65" t="inlineStr">
        <is>
          <t>D1</t>
        </is>
      </c>
    </row>
    <row r="72" ht="23.85" customHeight="1" s="50">
      <c r="A72" s="65" t="inlineStr">
        <is>
          <t>Sun 18 Oct</t>
        </is>
      </c>
      <c r="B72" s="65" t="inlineStr">
        <is>
          <t>Real iPhone Safari: address bar does not collapse (marked NOT fixed 23 Sep) and white bars above/below the page</t>
        </is>
      </c>
      <c r="C72" s="65" t="inlineStr">
        <is>
          <t>Bugs 2026-09-18: iPhone address bar / QA_PLAN Priority 4</t>
        </is>
      </c>
      <c r="D72" s="65" t="inlineStr">
        <is>
          <t>AI-only</t>
        </is>
      </c>
    </row>
    <row r="73" ht="23.85" customHeight="1" s="50">
      <c r="A73" s="65" t="inlineStr">
        <is>
          <t>Sun 18 Oct</t>
        </is>
      </c>
      <c r="B73" s="65" t="inlineStr">
        <is>
          <t>Remaining contrast-pass installments; Chromium, Safari and Firefox at 375/768/desktop; keyboard-only and VoiceOver pass</t>
        </is>
      </c>
      <c r="C73" s="65" t="inlineStr">
        <is>
          <t>Needs Product Decision: contrast pass / Responsive gate</t>
        </is>
      </c>
      <c r="D73" s="65" t="inlineStr">
        <is>
          <t>O10</t>
        </is>
      </c>
    </row>
    <row r="74" ht="23.85" customHeight="1" s="50">
      <c r="A74" s="65" t="inlineStr">
        <is>
          <t>Mon 19 Oct</t>
        </is>
      </c>
      <c r="B74" s="65" t="inlineStr">
        <is>
          <t>AI key isolation and cross-device sync with two real accounts using OpenRouter and OpenAI keys; proxy transport</t>
        </is>
      </c>
      <c r="C74" s="65" t="inlineStr">
        <is>
          <t>QA_PLAN Priority 1: AI key isolation</t>
        </is>
      </c>
      <c r="D74" s="65" t="inlineStr">
        <is>
          <t>O07</t>
        </is>
      </c>
    </row>
    <row r="75" ht="15" customHeight="1" s="50">
      <c r="A75" s="65" t="inlineStr">
        <is>
          <t>Mon 19 Oct</t>
        </is>
      </c>
      <c r="B75" s="65" t="inlineStr">
        <is>
          <t>AI chat context controls and budget awareness with real OpenRouter and OpenAI models; grounding QA</t>
        </is>
      </c>
      <c r="C75" s="65" t="inlineStr">
        <is>
          <t>Bugs: AI chat context controls</t>
        </is>
      </c>
      <c r="D75" s="65" t="inlineStr">
        <is>
          <t>O07</t>
        </is>
      </c>
    </row>
    <row r="76" ht="23.85" customHeight="1" s="50">
      <c r="A76" s="65" t="inlineStr">
        <is>
          <t>Mon 19 Oct</t>
        </is>
      </c>
      <c r="B76" s="65" t="inlineStr">
        <is>
          <t>Named-provider allow-list and untested-provider labelling behave as decided in D5/D9 (no custom endpoints, no advertising of other providers)</t>
        </is>
      </c>
      <c r="C76" s="65" t="inlineStr">
        <is>
          <t>Owner decision 2026-09-30</t>
        </is>
      </c>
      <c r="D76" s="65" t="inlineStr">
        <is>
          <t>AI-only</t>
        </is>
      </c>
    </row>
    <row r="77" ht="23.85" customHeight="1" s="50">
      <c r="A77" s="65" t="inlineStr">
        <is>
          <t>Tue 20 Oct</t>
        </is>
      </c>
      <c r="B77" s="65" t="inlineStr">
        <is>
          <t>Full AI chat panel saved as a project entry and exported to Word; AI Import for all six project types using OpenRouter/OpenAI</t>
        </is>
      </c>
      <c r="C77" s="65" t="inlineStr">
        <is>
          <t>Bugs: AI chat export / To Be Implemented: AI import</t>
        </is>
      </c>
      <c r="D77" s="65" t="inlineStr">
        <is>
          <t>AI-only</t>
        </is>
      </c>
    </row>
    <row r="78" ht="15" customHeight="1" s="50">
      <c r="A78" s="65" t="inlineStr">
        <is>
          <t>Tue 20 Oct</t>
        </is>
      </c>
      <c r="B78" s="65" t="inlineStr">
        <is>
          <t>docs/AI_PROVIDER_COMPLIANCE.md lists exactly OpenRouter and OpenAI as supported</t>
        </is>
      </c>
      <c r="C78" s="65" t="inlineStr">
        <is>
          <t>docs/AI_PROVIDER_COMPLIANCE.md</t>
        </is>
      </c>
      <c r="D78" s="65" t="inlineStr">
        <is>
          <t>AI-only</t>
        </is>
      </c>
    </row>
    <row r="79" ht="15" customHeight="1" s="50">
      <c r="A79" s="65" t="inlineStr">
        <is>
          <t>Tue 20 Oct</t>
        </is>
      </c>
      <c r="B79" s="65" t="inlineStr">
        <is>
          <t>Close the Project-type gate and Product acceptance evidence for all six types</t>
        </is>
      </c>
      <c r="C79" s="65" t="inlineStr">
        <is>
          <t>Project-type gate</t>
        </is>
      </c>
      <c r="D79" s="65" t="inlineStr">
        <is>
          <t>AI-only</t>
        </is>
      </c>
    </row>
    <row r="80" ht="35.05" customHeight="1" s="50">
      <c r="A80" s="65" t="inlineStr">
        <is>
          <t>Wed 21 Oct</t>
        </is>
      </c>
      <c r="B80" s="6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65" t="inlineStr">
        <is>
          <t>Launch Required / owner decision 2026-09-30</t>
        </is>
      </c>
      <c r="D80" s="65" t="inlineStr">
        <is>
          <t>AI-only</t>
        </is>
      </c>
    </row>
    <row r="81" ht="23.85" customHeight="1" s="50">
      <c r="A81" s="65" t="inlineStr">
        <is>
          <t>Wed 21 Oct</t>
        </is>
      </c>
      <c r="B81" s="65" t="inlineStr">
        <is>
          <t>Resolve every item in marketing-copy-review/COPY_CONFLICTS.md and verify Homepage, Pricing, Features, FAQ, Download, Founders, SEO pages, emails, legal modal, llms.txt, schema and Checkout say the same facts</t>
        </is>
      </c>
      <c r="C81" s="65" t="inlineStr">
        <is>
          <t>QA_PLAN Priority -1 / Marketing gate</t>
        </is>
      </c>
      <c r="D81" s="65" t="inlineStr">
        <is>
          <t>AI-only</t>
        </is>
      </c>
    </row>
    <row r="82" ht="23.85" customHeight="1" s="50">
      <c r="A82" s="65" t="inlineStr">
        <is>
          <t>Wed 21 Oct</t>
        </is>
      </c>
      <c r="B82" s="65" t="inlineStr">
        <is>
          <t>Remove player/public-discovery implications from D&amp;D/TTRPG copy (shared projects, player portals, VTT and mobile apps are excluded)</t>
        </is>
      </c>
      <c r="C82" s="65" t="inlineStr">
        <is>
          <t>QA_PLAN Priority -1: Marketing</t>
        </is>
      </c>
      <c r="D82" s="65" t="inlineStr">
        <is>
          <t>AI-only</t>
        </is>
      </c>
    </row>
    <row r="83" ht="15" customHeight="1" s="50">
      <c r="A83" s="65" t="inlineStr">
        <is>
          <t>Wed 21 Oct</t>
        </is>
      </c>
      <c r="B83" s="65" t="inlineStr">
        <is>
          <t>SEO deployment and Search Console sitemap validation; landing page defects</t>
        </is>
      </c>
      <c r="C83" s="65" t="inlineStr">
        <is>
          <t>Conditional Launch Scope: SEO basics, Landing page</t>
        </is>
      </c>
      <c r="D83" s="65" t="inlineStr">
        <is>
          <t>O11</t>
        </is>
      </c>
    </row>
    <row r="84" ht="23.85" customHeight="1" s="50">
      <c r="A84" s="65" t="inlineStr">
        <is>
          <t>Wed 21 Oct</t>
        </is>
      </c>
      <c r="B84" s="65" t="inlineStr">
        <is>
          <t>Legal and promise gate: Terms/Privacy final owner review, Beta 30-day notice wording, Local Mode/expiry/quota promises</t>
        </is>
      </c>
      <c r="C84" s="65" t="inlineStr">
        <is>
          <t>Legal and promise gate</t>
        </is>
      </c>
      <c r="D84" s="65" t="inlineStr">
        <is>
          <t>AI-only</t>
        </is>
      </c>
    </row>
    <row r="85" ht="23.85" customHeight="1" s="50">
      <c r="A85" s="65" t="inlineStr">
        <is>
          <t>Thu 22 Oct</t>
        </is>
      </c>
      <c r="B85" s="65" t="inlineStr">
        <is>
          <t>Durable Stripe event ledger: replay every supported event at least 3 times; entitlements, dates, Founder counts, emails change exactly once</t>
        </is>
      </c>
      <c r="C85" s="65" t="inlineStr">
        <is>
          <t>QA_PLAN Priority -1: Billing</t>
        </is>
      </c>
      <c r="D85" s="65" t="inlineStr">
        <is>
          <t>AI-only</t>
        </is>
      </c>
    </row>
    <row r="86" ht="23.85" customHeight="1" s="50">
      <c r="A86" s="65" t="inlineStr">
        <is>
          <t>Thu 22 Oct</t>
        </is>
      </c>
      <c r="B86" s="65" t="inlineStr">
        <is>
          <t>Price/entitlement matrix (GBP 10 / 50 / 75 / 6) matches Stripe test Price objects and Checkout line items; no separate purchasable Founder plan</t>
        </is>
      </c>
      <c r="C86" s="65" t="inlineStr">
        <is>
          <t>QA_PLAN Priority -1: Billing</t>
        </is>
      </c>
      <c r="D86" s="65" t="inlineStr">
        <is>
          <t>AI-only</t>
        </is>
      </c>
    </row>
    <row r="87" ht="23.85" customHeight="1" s="50">
      <c r="A87" s="65" t="inlineStr">
        <is>
          <t>Thu 22 Oct</t>
        </is>
      </c>
      <c r="B87" s="65" t="inlineStr">
        <is>
          <t>Remove/migrate the temporary paid-interest 'coming soon' flow and its automatic Beta entitlement; real checkout CTAs behind a launch switch</t>
        </is>
      </c>
      <c r="C87" s="65" t="inlineStr">
        <is>
          <t>PAYMENT_ROADMAP section 3 / QA_PLAN Priority -1</t>
        </is>
      </c>
      <c r="D87" s="65" t="inlineStr">
        <is>
          <t>AI-only</t>
        </is>
      </c>
    </row>
    <row r="88" ht="23.85" customHeight="1" s="50">
      <c r="A88" s="65" t="inlineStr">
        <is>
          <t>Thu 22 Oct</t>
        </is>
      </c>
      <c r="B88" s="65" t="inlineStr">
        <is>
          <t>Founding Lifetime concurrency: checkout holds and successful payments never award more than 100 Founder positions; purchase 101 uses Standard Lifetime automatically</t>
        </is>
      </c>
      <c r="C88" s="65" t="inlineStr">
        <is>
          <t>QA_PLAN Priority -1: Billing</t>
        </is>
      </c>
      <c r="D88" s="65" t="inlineStr">
        <is>
          <t>AI-only</t>
        </is>
      </c>
    </row>
    <row r="89" ht="15" customHeight="1" s="50">
      <c r="A89" s="65" t="inlineStr">
        <is>
          <t>Thu 22 Oct</t>
        </is>
      </c>
      <c r="B89" s="65" t="inlineStr">
        <is>
          <t>Prepare the exact Vercel test-mode secrets swap and return-to-live checklist (names only, never values)</t>
        </is>
      </c>
      <c r="C89" s="65" t="inlineStr">
        <is>
          <t>PAYMENT_ROADMAP section 2</t>
        </is>
      </c>
      <c r="D89" s="65" t="inlineStr">
        <is>
          <t>O12</t>
        </is>
      </c>
    </row>
    <row r="90" ht="23.85" customHeight="1" s="50">
      <c r="A90" s="65" t="inlineStr">
        <is>
          <t>Fri 23 Oct</t>
        </is>
      </c>
      <c r="B90" s="65" t="inlineStr">
        <is>
          <t>GBP 6 hosting renewal plus remaining checkout cancellation/expiration, failed/async payment and out-of-order webhook checks</t>
        </is>
      </c>
      <c r="C90" s="65" t="inlineStr">
        <is>
          <t>PAYMENT_ROADMAP section 2 steps 10-11</t>
        </is>
      </c>
      <c r="D90" s="65" t="inlineStr">
        <is>
          <t>AI-only</t>
        </is>
      </c>
    </row>
    <row r="91" ht="23.85" customHeight="1" s="50">
      <c r="A91" s="65" t="inlineStr">
        <is>
          <t>Fri 23 Oct</t>
        </is>
      </c>
      <c r="B91" s="65" t="inlineStr">
        <is>
          <t>Live-account QA of the 'Downgrade to Free' fix for manually-upgraded accounts and real Stripe portal unaffected</t>
        </is>
      </c>
      <c r="C91" s="65" t="inlineStr">
        <is>
          <t>PAYMENT_ROADMAP section 2 step 12</t>
        </is>
      </c>
      <c r="D91" s="65" t="inlineStr">
        <is>
          <t>AI-only</t>
        </is>
      </c>
    </row>
    <row r="92" ht="23.85" customHeight="1" s="50">
      <c r="A92" s="65" t="inlineStr">
        <is>
          <t>Sat 24 Oct</t>
        </is>
      </c>
      <c r="B92" s="65" t="inlineStr">
        <is>
          <t>Return-to-live prepared: swap back to live secrets/prices/webhook is a written one-step runbook; live configuration review without a purchase</t>
        </is>
      </c>
      <c r="C92" s="65" t="inlineStr">
        <is>
          <t>PAYMENT_ROADMAP section 2 step 13</t>
        </is>
      </c>
      <c r="D92" s="65" t="inlineStr">
        <is>
          <t>O12</t>
        </is>
      </c>
    </row>
    <row r="93" ht="23.85" customHeight="1" s="50">
      <c r="A93" s="65" t="inlineStr">
        <is>
          <t>Sat 24 Oct</t>
        </is>
      </c>
      <c r="B93" s="65" t="inlineStr">
        <is>
          <t>Prepared release sets YOW_BETA_ENROLLMENT_CLOSED=true and stamps beta_notice_started_at to the launch timestamp; existing testers keep access/exports</t>
        </is>
      </c>
      <c r="C93" s="65" t="inlineStr">
        <is>
          <t>Owner launch handoff: Beta</t>
        </is>
      </c>
      <c r="D93" s="65" t="inlineStr">
        <is>
          <t>O13</t>
        </is>
      </c>
    </row>
    <row r="94" ht="23.85" customHeight="1" s="50">
      <c r="A94" s="65" t="inlineStr">
        <is>
          <t>Sat 24 Oct</t>
        </is>
      </c>
      <c r="B94" s="65" t="inlineStr">
        <is>
          <t>Support inbox and email checks: support@ and founders@ receive and can reply; welcome/reset emails come from the right sender</t>
        </is>
      </c>
      <c r="C94" s="65" t="inlineStr">
        <is>
          <t>Owner launch handoff: Support/privacy</t>
        </is>
      </c>
      <c r="D94" s="65" t="inlineStr">
        <is>
          <t>O14</t>
        </is>
      </c>
    </row>
    <row r="95" ht="23.85" customHeight="1" s="50">
      <c r="A95" s="65" t="inlineStr">
        <is>
          <t>Fri 30 Oct</t>
        </is>
      </c>
      <c r="B95" s="65" t="inlineStr">
        <is>
          <t>Final Launch Readiness Gate table update: every gate Passed with evidence or an explicit re-decision; production-deploy checks queued for 1 Nov</t>
        </is>
      </c>
      <c r="C95" s="65" t="inlineStr">
        <is>
          <t>Launch Readiness Gate</t>
        </is>
      </c>
      <c r="D95" s="65" t="inlineStr">
        <is>
          <t>AI-only</t>
        </is>
      </c>
    </row>
    <row r="96" ht="23.85" customHeight="1" s="50">
      <c r="A96" s="65" t="inlineStr">
        <is>
          <t>Sat 31 Oct</t>
        </is>
      </c>
      <c r="B96" s="65" t="inlineStr">
        <is>
          <t>Supabase and project backups taken and restore-tested; checkout-disable switch and rollback tested on the rehearsal</t>
        </is>
      </c>
      <c r="C96" s="65" t="inlineStr">
        <is>
          <t>QA_PLAN Priority 12</t>
        </is>
      </c>
      <c r="D96" s="65" t="inlineStr">
        <is>
          <t>AI-only</t>
        </is>
      </c>
    </row>
    <row r="97" ht="23.85" customHeight="1" s="50">
      <c r="A97" s="65" t="inlineStr">
        <is>
          <t>Sun 1 Nov</t>
        </is>
      </c>
      <c r="B97" s="65" t="inlineStr">
        <is>
          <t>Post-deploy production checks: security headers, canonical redirect, Founder slot display, checkout, entitlement, save/export</t>
        </is>
      </c>
      <c r="C97" s="65" t="inlineStr">
        <is>
          <t>QA_PLAN Priority 11-12</t>
        </is>
      </c>
      <c r="D97" s="65" t="inlineStr">
        <is>
          <t>O15</t>
        </is>
      </c>
    </row>
    <row r="98" ht="15" customHeight="1" s="50">
      <c r="A98" s="65" t="inlineStr">
        <is>
          <t>Mon 2 Nov</t>
        </is>
      </c>
      <c r="B98" s="65" t="inlineStr">
        <is>
          <t>Search Console/analytics/support monitoring active; approved marketing prepared for the owner to publish</t>
        </is>
      </c>
      <c r="C98" s="65" t="inlineStr">
        <is>
          <t>Launch plan</t>
        </is>
      </c>
      <c r="D98" s="65" t="inlineStr">
        <is>
          <t>AI-only</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22"/>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6" customWidth="1" style="49" min="1" max="1"/>
    <col width="80" customWidth="1" style="49" min="2" max="2"/>
    <col width="30" customWidth="1" style="49" min="3" max="3"/>
    <col width="10" customWidth="1" style="49" min="4" max="4"/>
    <col width="12" customWidth="1" style="49" min="5" max="6"/>
    <col width="10" customWidth="1" style="49" min="7" max="7"/>
    <col width="13" customWidth="1" style="49" min="8" max="8"/>
    <col width="40" customWidth="1" style="49" min="9" max="9"/>
  </cols>
  <sheetData>
    <row r="1" ht="16.15" customHeight="1" s="50">
      <c r="A1" s="63" t="inlineStr">
        <is>
          <t>Owner overflow — extra checks that need you, each scheduled on a day with spare time. "Deadline" is the latest date it can still be done without delaying a gate.</t>
        </is>
      </c>
    </row>
    <row r="3" ht="26.85" customHeight="1" s="50">
      <c r="A3" s="64" t="inlineStr">
        <is>
          <t>ID</t>
        </is>
      </c>
      <c r="B3" s="64" t="inlineStr">
        <is>
          <t>What you do (AI prepares one-step instructions first)</t>
        </is>
      </c>
      <c r="C3" s="64" t="inlineStr">
        <is>
          <t>Needs</t>
        </is>
      </c>
      <c r="D3" s="64" t="inlineStr">
        <is>
          <t>Est. minutes</t>
        </is>
      </c>
      <c r="E3" s="64" t="inlineStr">
        <is>
          <t>Scheduled day</t>
        </is>
      </c>
      <c r="F3" s="64" t="inlineStr">
        <is>
          <t>Deadline</t>
        </is>
      </c>
      <c r="G3" s="64" t="inlineStr">
        <is>
          <t>Hard gate?</t>
        </is>
      </c>
      <c r="H3" s="64" t="inlineStr">
        <is>
          <t>Status</t>
        </is>
      </c>
      <c r="I3" s="64" t="inlineStr">
        <is>
          <t>Notes / evidence</t>
        </is>
      </c>
    </row>
    <row r="4" ht="46.25" customHeight="1" s="50">
      <c r="A4" s="65" t="inlineStr">
        <is>
          <t>O01</t>
        </is>
      </c>
      <c r="B4" s="65" t="inlineStr">
        <is>
          <t>Create a brand-new test account and walk the first-run flow: sample-project prompt, exactly one Sample Project, tours dismissed stay dismissed on a fresh browser, clean AI setup message.</t>
        </is>
      </c>
      <c r="C4" s="65" t="inlineStr">
        <is>
          <t>Test alias email + second browser</t>
        </is>
      </c>
      <c r="D4" s="65" t="n">
        <v>40</v>
      </c>
      <c r="E4" s="66" t="n">
        <v>46298</v>
      </c>
      <c r="F4" s="66" t="n">
        <v>46299</v>
      </c>
      <c r="G4" s="65" t="inlineStr">
        <is>
          <t>Yes</t>
        </is>
      </c>
      <c r="H4" s="65" t="inlineStr">
        <is>
          <t>Done</t>
        </is>
      </c>
      <c r="I4" s="65" t="inlineStr">
        <is>
          <t>Owner-attested 30 Sep: fresh-account flow already run many times; no formal step-by-step evidence saved. Accepted as passed by owner decision.</t>
        </is>
      </c>
    </row>
    <row r="5" ht="46.25" customHeight="1" s="50">
      <c r="A5" s="65" t="inlineStr">
        <is>
          <t>O02</t>
        </is>
      </c>
      <c r="B5" s="65" t="inlineStr">
        <is>
          <t>Supabase dashboard: switch on leaked-password protection (if your plan offers it). The AI handles the duplicate scenes-policy clean-up separately.</t>
        </is>
      </c>
      <c r="C5" s="65" t="inlineStr">
        <is>
          <t>Supabase dashboard (guided)</t>
        </is>
      </c>
      <c r="D5" s="65" t="n">
        <v>15</v>
      </c>
      <c r="E5" s="66" t="n">
        <v>46298</v>
      </c>
      <c r="F5" s="66" t="n">
        <v>46304</v>
      </c>
      <c r="G5" s="65" t="inlineStr">
        <is>
          <t>No</t>
        </is>
      </c>
      <c r="H5" s="65" t="inlineStr">
        <is>
          <t>Done</t>
        </is>
      </c>
      <c r="I5" s="65" t="inlineStr">
        <is>
          <t>Leaked-password protection not offered on current plan (owner 30 Sep). Accepted Advisor warning; AI verifies password policy on 9 Oct.</t>
        </is>
      </c>
    </row>
    <row r="6" ht="23.85" customHeight="1" s="50">
      <c r="A6" s="65" t="inlineStr">
        <is>
          <t>O03</t>
        </is>
      </c>
      <c r="B6" s="65" t="inlineStr">
        <is>
          <t>Supabase read-only check after deleting a disposable project: confirm zero scene rows remain for it.</t>
        </is>
      </c>
      <c r="C6" s="65" t="inlineStr">
        <is>
          <t>Supabase dashboard (guided, read-only)</t>
        </is>
      </c>
      <c r="D6" s="65" t="n">
        <v>10</v>
      </c>
      <c r="E6" s="66" t="n">
        <v>46298</v>
      </c>
      <c r="F6" s="66" t="n">
        <v>46300</v>
      </c>
      <c r="G6" s="65" t="inlineStr">
        <is>
          <t>Yes</t>
        </is>
      </c>
      <c r="H6" s="65" t="inlineStr">
        <is>
          <t>Done</t>
        </is>
      </c>
      <c r="I6" s="65" t="inlineStr">
        <is>
          <t>Done 3 Oct - owner deleted a disposable project on test2; no scene rows remained. Check also found 536 orphaned scene rows (older deletes / deleted accounts); account-deletion gap fixed in code and the 536 rows deleted by owner (owner-reported).</t>
        </is>
      </c>
    </row>
    <row r="7" ht="57.45" customHeight="1" s="50">
      <c r="A7" s="65" t="inlineStr">
        <is>
          <t>O14</t>
        </is>
      </c>
      <c r="B7" s="65" t="inlineStr">
        <is>
          <t>Send a test email to support@yourownworld.co.uk and founders@yourownworld.co.uk, reply from each mailbox, and confirm both arrive and the reply shows the right sender.</t>
        </is>
      </c>
      <c r="C7" s="65" t="inlineStr">
        <is>
          <t>Your mailboxes</t>
        </is>
      </c>
      <c r="D7" s="65" t="n">
        <v>15</v>
      </c>
      <c r="E7" s="66" t="n">
        <v>46298</v>
      </c>
      <c r="F7" s="66" t="n">
        <v>46324</v>
      </c>
      <c r="G7" s="65" t="inlineStr">
        <is>
          <t>No</t>
        </is>
      </c>
      <c r="H7" s="65" t="inlineStr">
        <is>
          <t>Done</t>
        </is>
      </c>
      <c r="I7" s="65" t="inlineStr">
        <is>
          <t>Both test emails arrived; reply sender showed 'Morgan Bishop, yourownworld.admin@gmail.com' instead of the support@/founders@ address. Follow-up O16.</t>
        </is>
      </c>
    </row>
    <row r="8" ht="35.05" customHeight="1" s="50">
      <c r="A8" s="65" t="inlineStr">
        <is>
          <t>O16</t>
        </is>
      </c>
      <c r="B8" s="65" t="inlineStr">
        <is>
          <t>Make replies from support@ and founders@ show the YOW address: add both as Gmail 'Send mail as' aliases that send through Resend SMTP (Cloudflare Email Routing only receives). Steps are in the Do Now sheet.</t>
        </is>
      </c>
      <c r="C8" s="65" t="inlineStr">
        <is>
          <t>Gmail settings + domain mail setup</t>
        </is>
      </c>
      <c r="D8" s="65" t="n">
        <v>20</v>
      </c>
      <c r="E8" s="66" t="n">
        <v>46298</v>
      </c>
      <c r="F8" s="66" t="n">
        <v>46324</v>
      </c>
      <c r="G8" s="65" t="inlineStr">
        <is>
          <t>No</t>
        </is>
      </c>
      <c r="H8" s="65" t="inlineStr">
        <is>
          <t>Done</t>
        </is>
      </c>
      <c r="I8" s="65" t="inlineStr">
        <is>
          <t>Done 3 Oct - support@ Gmail send-as set up via Resend SMTP. Owner decision: no founders@ send-as; replies go out from support@ only.</t>
        </is>
      </c>
    </row>
    <row r="9" ht="23.85" customHeight="1" s="50">
      <c r="A9" s="65" t="inlineStr">
        <is>
          <t>O04</t>
        </is>
      </c>
      <c r="B9" s="65" t="inlineStr">
        <is>
          <t>Two real browser tabs on the same test account: structured-record clobber test and the same-scene race repro.</t>
        </is>
      </c>
      <c r="C9" s="65" t="inlineStr">
        <is>
          <t>Two tabs, test account</t>
        </is>
      </c>
      <c r="D9" s="65" t="n">
        <v>30</v>
      </c>
      <c r="E9" s="66" t="n">
        <v>46300</v>
      </c>
      <c r="F9" s="66" t="n">
        <v>46300</v>
      </c>
      <c r="G9" s="65" t="inlineStr">
        <is>
          <t>Yes</t>
        </is>
      </c>
      <c r="H9" s="65" t="inlineStr">
        <is>
          <t>Done</t>
        </is>
      </c>
      <c r="I9" s="65" t="inlineStr">
        <is>
          <t>Run early 3 Oct: scene race PASS; character record clobber FAIL, fixed same evening (migration 20261003140000 + client merge). Owner reported 4 Oct evening: live two-tab re-test PASSED (owner-reported, no screenshot).</t>
        </is>
      </c>
    </row>
    <row r="10" ht="23.85" customHeight="1" s="50">
      <c r="A10" s="65" t="inlineStr">
        <is>
          <t>O05</t>
        </is>
      </c>
      <c r="B10" s="65" t="inlineStr">
        <is>
          <t>Live rate-limit check: send 6 feedback requests from one connection, confirm the 6th is refused and the block clears.</t>
        </is>
      </c>
      <c r="C10" s="65" t="inlineStr">
        <is>
          <t>Production site (guided)</t>
        </is>
      </c>
      <c r="D10" s="65" t="n">
        <v>20</v>
      </c>
      <c r="E10" s="66" t="n">
        <v>46300</v>
      </c>
      <c r="F10" s="66" t="n">
        <v>46300</v>
      </c>
      <c r="G10" s="65" t="inlineStr">
        <is>
          <t>No</t>
        </is>
      </c>
      <c r="H10" s="65" t="inlineStr">
        <is>
          <t>Done</t>
        </is>
      </c>
      <c r="I10" s="65" t="inlineStr">
        <is>
          <t>Done 4 Oct - owner reported the live feedback rate-limit check passed (owner-reported, no screenshot).</t>
        </is>
      </c>
    </row>
    <row r="11" ht="35.05" customHeight="1" s="50">
      <c r="A11" s="65" t="inlineStr">
        <is>
          <t>O06</t>
        </is>
      </c>
      <c r="B11" s="65" t="inlineStr">
        <is>
          <t>Arrange a clean Windows PC (or rented cloud Windows PC) for 17 Oct and tell me the Windows version.</t>
        </is>
      </c>
      <c r="C11" s="65" t="inlineStr">
        <is>
          <t>Windows machine</t>
        </is>
      </c>
      <c r="D11" s="65" t="n">
        <v>60</v>
      </c>
      <c r="E11" s="66" t="n">
        <v>46305</v>
      </c>
      <c r="F11" s="66" t="n">
        <v>46305</v>
      </c>
      <c r="G11" s="65" t="inlineStr">
        <is>
          <t>Yes</t>
        </is>
      </c>
      <c r="H11" s="65" t="inlineStr">
        <is>
          <t>Done</t>
        </is>
      </c>
      <c r="I11" s="65" t="inlineStr">
        <is>
          <t>Owner has a real Windows PC with admin rights (30 Sep). Exact Windows version to be read with winver before 17 Oct.</t>
        </is>
      </c>
    </row>
    <row r="12" ht="23.85" customHeight="1" s="50">
      <c r="A12" s="65" t="inlineStr">
        <is>
          <t>O08</t>
        </is>
      </c>
      <c r="B12" s="65" t="inlineStr">
        <is>
          <t>Upload larger images to a disposable project on a real account and confirm the storage figure and cap behaviour.</t>
        </is>
      </c>
      <c r="C12" s="65" t="inlineStr">
        <is>
          <t>Test account</t>
        </is>
      </c>
      <c r="D12" s="65" t="n">
        <v>20</v>
      </c>
      <c r="E12" s="66" t="n">
        <v>46305</v>
      </c>
      <c r="F12" s="66" t="n">
        <v>46309</v>
      </c>
      <c r="G12" s="65" t="inlineStr">
        <is>
          <t>Yes</t>
        </is>
      </c>
      <c r="H12" s="65" t="inlineStr">
        <is>
          <t>Not started</t>
        </is>
      </c>
      <c r="I12" s="65" t="n"/>
    </row>
    <row r="13" ht="23.85" customHeight="1" s="50">
      <c r="A13" s="65" t="inlineStr">
        <is>
          <t>O09</t>
        </is>
      </c>
      <c r="B13" s="65" t="inlineStr">
        <is>
          <t>On a real account with a two-project series, check Characters, Locations, Lore and Timeline sync forward to the second project.</t>
        </is>
      </c>
      <c r="C13" s="65" t="inlineStr">
        <is>
          <t>Test account with a series</t>
        </is>
      </c>
      <c r="D13" s="65" t="n">
        <v>45</v>
      </c>
      <c r="E13" s="66" t="n">
        <v>46305</v>
      </c>
      <c r="F13" s="66" t="n">
        <v>46311</v>
      </c>
      <c r="G13" s="65" t="inlineStr">
        <is>
          <t>No</t>
        </is>
      </c>
      <c r="H13" s="65" t="inlineStr">
        <is>
          <t>Not started</t>
        </is>
      </c>
      <c r="I13" s="65" t="n"/>
    </row>
    <row r="14" ht="23.85" customHeight="1" s="50">
      <c r="A14" s="65" t="inlineStr">
        <is>
          <t>O10</t>
        </is>
      </c>
      <c r="B14" s="65" t="inlineStr">
        <is>
          <t>Firefox and Safari passes at phone/tablet/desktop widths plus a VoiceOver and keyboard-only run. Runs inside the 18 Oct device blocks.</t>
        </is>
      </c>
      <c r="C14" s="65" t="inlineStr">
        <is>
          <t>Firefox, Safari, VoiceOver</t>
        </is>
      </c>
      <c r="D14" s="65" t="n">
        <v>90</v>
      </c>
      <c r="E14" s="66" t="n">
        <v>46313</v>
      </c>
      <c r="F14" s="66" t="n">
        <v>46313</v>
      </c>
      <c r="G14" s="65" t="inlineStr">
        <is>
          <t>No</t>
        </is>
      </c>
      <c r="H14" s="65" t="inlineStr">
        <is>
          <t>Not started</t>
        </is>
      </c>
      <c r="I14" s="65" t="n"/>
    </row>
    <row r="15" ht="35.05" customHeight="1" s="50">
      <c r="A15" s="65" t="inlineStr">
        <is>
          <t>O07</t>
        </is>
      </c>
      <c r="B15" s="65" t="inlineStr">
        <is>
          <t>Your own OpenRouter and OpenAI keys (never pasted into chat): DM/GM framing, key isolation across two accounts, context controls. Runs inside the 19-20 Oct owner blocks. Other providers are not tested.</t>
        </is>
      </c>
      <c r="C15" s="65" t="inlineStr">
        <is>
          <t>Your AI key + two test accounts</t>
        </is>
      </c>
      <c r="D15" s="65" t="n">
        <v>60</v>
      </c>
      <c r="E15" s="66" t="n">
        <v>46314</v>
      </c>
      <c r="F15" s="66" t="n">
        <v>46315</v>
      </c>
      <c r="G15" s="65" t="inlineStr">
        <is>
          <t>Yes</t>
        </is>
      </c>
      <c r="H15" s="65" t="inlineStr">
        <is>
          <t>Not started</t>
        </is>
      </c>
      <c r="I15" s="65" t="n"/>
    </row>
    <row r="16" ht="23.85" customHeight="1" s="50">
      <c r="A16" s="65" t="inlineStr">
        <is>
          <t>O11</t>
        </is>
      </c>
      <c r="B16" s="65" t="inlineStr">
        <is>
          <t>Search Console: confirm the sitemap is read after deploy and request indexing for the key pages.</t>
        </is>
      </c>
      <c r="C16" s="65" t="inlineStr">
        <is>
          <t>Search Console</t>
        </is>
      </c>
      <c r="D16" s="65" t="n">
        <v>10</v>
      </c>
      <c r="E16" s="66" t="n">
        <v>46319</v>
      </c>
      <c r="F16" s="66" t="n">
        <v>46321</v>
      </c>
      <c r="G16" s="65" t="inlineStr">
        <is>
          <t>No</t>
        </is>
      </c>
      <c r="H16" s="65" t="inlineStr">
        <is>
          <t>Not started</t>
        </is>
      </c>
      <c r="I16" s="65" t="n"/>
    </row>
    <row r="17" ht="23.85" customHeight="1" s="50">
      <c r="A17" s="65" t="inlineStr">
        <is>
          <t>O12</t>
        </is>
      </c>
      <c r="B17" s="65" t="inlineStr">
        <is>
          <t>Stripe and Vercel dashboards (guided, names only): confirm live keys/prices/webhook events are ready for launch, without a purchase.</t>
        </is>
      </c>
      <c r="C17" s="65" t="inlineStr">
        <is>
          <t>Stripe + Vercel dashboards</t>
        </is>
      </c>
      <c r="D17" s="65" t="n">
        <v>30</v>
      </c>
      <c r="E17" s="66" t="n">
        <v>46320</v>
      </c>
      <c r="F17" s="66" t="n">
        <v>46324</v>
      </c>
      <c r="G17" s="65" t="inlineStr">
        <is>
          <t>Yes</t>
        </is>
      </c>
      <c r="H17" s="65" t="inlineStr">
        <is>
          <t>Not started</t>
        </is>
      </c>
      <c r="I17" s="65" t="n"/>
    </row>
    <row r="18" ht="23.85" customHeight="1" s="50">
      <c r="A18" s="65" t="inlineStr">
        <is>
          <t>O13</t>
        </is>
      </c>
      <c r="B18" s="65" t="inlineStr">
        <is>
          <t>Vercel: confirm the Beta-close setting exists (name only, do not enable it yet) and approve the Beta-close timestamp plan.</t>
        </is>
      </c>
      <c r="C18" s="65" t="inlineStr">
        <is>
          <t>Vercel dashboard (guided)</t>
        </is>
      </c>
      <c r="D18" s="65" t="n">
        <v>10</v>
      </c>
      <c r="E18" s="66" t="n">
        <v>46320</v>
      </c>
      <c r="F18" s="66" t="n">
        <v>46324</v>
      </c>
      <c r="G18" s="65" t="inlineStr">
        <is>
          <t>Yes</t>
        </is>
      </c>
      <c r="H18" s="65" t="inlineStr">
        <is>
          <t>Not started</t>
        </is>
      </c>
      <c r="I18" s="65" t="n"/>
    </row>
    <row r="19" ht="23.85" customHeight="1" s="50">
      <c r="A19" s="65" t="inlineStr">
        <is>
          <t>O15</t>
        </is>
      </c>
      <c r="B19" s="65" t="inlineStr">
        <is>
          <t>After deploy on 1 Nov: open the live site DevTools and confirm headers, the www redirect, and one Founder slot display.</t>
        </is>
      </c>
      <c r="C19" s="65" t="inlineStr">
        <is>
          <t>Production site (guided)</t>
        </is>
      </c>
      <c r="D19" s="65" t="n">
        <v>15</v>
      </c>
      <c r="E19" s="66" t="n">
        <v>46327</v>
      </c>
      <c r="F19" s="66" t="n">
        <v>46327</v>
      </c>
      <c r="G19" s="65" t="inlineStr">
        <is>
          <t>Yes</t>
        </is>
      </c>
      <c r="H19" s="65" t="inlineStr">
        <is>
          <t>Not started</t>
        </is>
      </c>
      <c r="I19" s="65" t="n"/>
    </row>
    <row r="20" ht="113.4" customHeight="1" s="50">
      <c r="A20" s="65" t="inlineStr">
        <is>
          <t>O17</t>
        </is>
      </c>
      <c r="B20" s="65" t="inlineStr">
        <is>
          <t>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t>
        </is>
      </c>
      <c r="C20" s="65" t="inlineStr">
        <is>
          <t>Two Free test accounts + Supabase SQL editor + Vercel cron Run button (guided)</t>
        </is>
      </c>
      <c r="D20" s="65" t="n">
        <v>60</v>
      </c>
      <c r="E20" s="66" t="n">
        <v>46298</v>
      </c>
      <c r="F20" s="66" t="n">
        <v>46300</v>
      </c>
      <c r="G20" s="65" t="inlineStr">
        <is>
          <t>Yes</t>
        </is>
      </c>
      <c r="H20" s="65" t="inlineStr">
        <is>
          <t>Done</t>
        </is>
      </c>
      <c r="I20" s="65" t="inlineStr">
        <is>
          <t>Passed 2026-10-02 (run a day early). 8 notice emails arrived; cron run deleted test account A (audit row completed in 2 s, Storage folder gone); test account B signed in after the final notice and was not deleted; no real account touched. Found and fixed: Resend idempotency 409 (PR 243); emails restyled as branded HTML (PR 242). Owner confirmed B's ledger rows, the branded email look, and deleted test account B. No open items.</t>
        </is>
      </c>
    </row>
    <row r="21" ht="15" customHeight="1" s="50">
      <c r="C21" s="49" t="inlineStr">
        <is>
          <t>Total minutes</t>
        </is>
      </c>
      <c r="D21" s="49">
        <f>SUM(D4:D20)</f>
        <v/>
      </c>
    </row>
    <row r="22" ht="15" customHeight="1" s="50">
      <c r="C22" s="49" t="inlineStr">
        <is>
          <t>Remaining minutes</t>
        </is>
      </c>
      <c r="D22" s="49">
        <f>SUMIF(H4:H20,"&lt;&gt;Done",D4:D20)</f>
        <v/>
      </c>
    </row>
  </sheetData>
  <dataValidations count="1">
    <dataValidation sqref="H4:H19" showDropDown="0" showInputMessage="0" showErrorMessage="0" allowBlank="1" type="list" errorStyle="stop" operator="between">
      <formula1>"Not started,In progress,Done,Blocked"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6" customWidth="1" style="49" min="1" max="1"/>
    <col width="80" customWidth="1" style="49" min="2" max="2"/>
    <col width="55" customWidth="1" style="49" min="3" max="3"/>
    <col width="12" customWidth="1" style="49" min="4" max="4"/>
    <col width="30" customWidth="1" style="49" min="5" max="5"/>
    <col width="10" customWidth="1" style="49" min="6" max="6"/>
  </cols>
  <sheetData>
    <row r="1" ht="16.15" customHeight="1" s="50">
      <c r="A1" s="63" t="inlineStr">
        <is>
          <t>Decisions only you can make — with my recommended default. If you do not answer by the date, the AI proceeds with the default.</t>
        </is>
      </c>
    </row>
    <row r="3" ht="15" customHeight="1" s="50">
      <c r="A3" s="64" t="inlineStr">
        <is>
          <t>ID</t>
        </is>
      </c>
      <c r="B3" s="64" t="inlineStr">
        <is>
          <t>Decision</t>
        </is>
      </c>
      <c r="C3" s="64" t="inlineStr">
        <is>
          <t>Recommended default</t>
        </is>
      </c>
      <c r="D3" s="64" t="inlineStr">
        <is>
          <t>Decide by</t>
        </is>
      </c>
      <c r="E3" s="64" t="inlineStr">
        <is>
          <t>Your decision</t>
        </is>
      </c>
      <c r="F3" s="64" t="inlineStr">
        <is>
          <t>Status</t>
        </is>
      </c>
    </row>
    <row r="4" ht="79.84999999999999" customHeight="1" s="50">
      <c r="A4" s="65" t="inlineStr">
        <is>
          <t>D5</t>
        </is>
      </c>
      <c r="B4" s="65" t="inlineStr">
        <is>
          <t>Which AI providers does launch advertise?</t>
        </is>
      </c>
      <c r="C4" s="65" t="inlineStr">
        <is>
          <t>OpenRouter and OpenAI only.</t>
        </is>
      </c>
      <c r="D4" s="66" t="n">
        <v>46295</v>
      </c>
      <c r="E4" s="65" t="inlineStr">
        <is>
          <t>Advertise and support only OpenRouter and OpenAI (the providers the owner can access and test). Other providers are not advertised, not live-tested, and labelled 'not tested' in the app (default treatment, see D9).</t>
        </is>
      </c>
      <c r="F4" s="65" t="inlineStr">
        <is>
          <t>Decided</t>
        </is>
      </c>
    </row>
    <row r="5" ht="23.85" customHeight="1" s="50">
      <c r="A5" s="65" t="inlineStr">
        <is>
          <t>D2</t>
        </is>
      </c>
      <c r="B5" s="65" t="inlineStr">
        <is>
          <t>JavaScript type checking, React-compiler warnings and stricter CI gates: do they block launch?</t>
        </is>
      </c>
      <c r="C5" s="65" t="inlineStr">
        <is>
          <t>Park until after launch; quality hardening, not one of the seven blocker categories.</t>
        </is>
      </c>
      <c r="D5" s="66" t="n">
        <v>46298</v>
      </c>
      <c r="E5" s="65" t="inlineStr">
        <is>
          <t>Accepted default: parked until after launch.</t>
        </is>
      </c>
      <c r="F5" s="65" t="inlineStr">
        <is>
          <t>Decided</t>
        </is>
      </c>
    </row>
    <row r="6" ht="23.85" customHeight="1" s="50">
      <c r="A6" s="65" t="inlineStr">
        <is>
          <t>D3</t>
        </is>
      </c>
      <c r="B6" s="65" t="inlineStr">
        <is>
          <t>Desktop vault encryption at rest: encrypt, or launch unencrypted with clear disclosure?</t>
        </is>
      </c>
      <c r="C6" s="65" t="inlineStr">
        <is>
          <t>Launch with disclosure and record the decision; revisit later.</t>
        </is>
      </c>
      <c r="D6" s="66" t="n">
        <v>46301</v>
      </c>
      <c r="E6" s="65" t="inlineStr">
        <is>
          <t>Accepted default: launch with disclosure; record the decision. Recorded 4 Oct: disclosure already live in the Privacy modal and FAQ ('not separately encrypted by YOW'); no encryption at launch.</t>
        </is>
      </c>
      <c r="F6" s="65" t="inlineStr">
        <is>
          <t>Decided</t>
        </is>
      </c>
    </row>
    <row r="7" ht="46.25" customHeight="1" s="50">
      <c r="A7" s="65" t="inlineStr">
        <is>
          <t>D1</t>
        </is>
      </c>
      <c r="B7" s="65" t="inlineStr">
        <is>
          <t>A very large scene (30k+ words) with a note attached types slowly. Fixing it properly is a large change. Build it, or launch with a documented soft limit and in-app warning?</t>
        </is>
      </c>
      <c r="C7" s="65" t="inlineStr">
        <is>
          <t>Ship a documented limit and warning; keep the large fix for after launch (not a data-loss or broken-save blocker).</t>
        </is>
      </c>
      <c r="D7" s="66" t="n">
        <v>46307</v>
      </c>
      <c r="E7" s="65" t="inlineStr">
        <is>
          <t>Accepted default: ship a documented limit and in-app warning for very large scenes; full fix after launch.</t>
        </is>
      </c>
      <c r="F7" s="65" t="inlineStr">
        <is>
          <t>Decided</t>
        </is>
      </c>
    </row>
    <row r="8" ht="46.25" customHeight="1" s="50">
      <c r="A8" s="65" t="inlineStr">
        <is>
          <t>D4</t>
        </is>
      </c>
      <c r="B8" s="65" t="inlineStr">
        <is>
          <t>If Windows fails its clean-machine test on 17 Oct: delay launch, or launch Mac-only with Windows following?</t>
        </is>
      </c>
      <c r="C8" s="65" t="inlineStr">
        <is>
          <t>Decide now; Lifetime is promised for macOS and Windows. Recommended: delay only if Windows data-loss/save/export fails; otherwise fix and retest in the buffer.</t>
        </is>
      </c>
      <c r="D8" s="66" t="n">
        <v>46311</v>
      </c>
      <c r="E8" s="65" t="inlineStr">
        <is>
          <t>Accepted default: delay only if Windows data-loss/save/export fails; otherwise fix and retest in the buffer.</t>
        </is>
      </c>
      <c r="F8" s="65" t="inlineStr">
        <is>
          <t>Decided</t>
        </is>
      </c>
    </row>
    <row r="9" ht="91" customHeight="1" s="50">
      <c r="A9" s="65" t="inlineStr">
        <is>
          <t>D9</t>
        </is>
      </c>
      <c r="B9" s="65" t="inlineStr">
        <is>
          <t>Follow-on to D5: what happens to the other providers already in the app (Google, Anthropic, Groq, Mistral, Together)?</t>
        </is>
      </c>
      <c r="C9" s="65" t="inlineStr">
        <is>
          <t>Keep working but labelled 'not tested / not officially supported'; nothing advertised. (Alternative: hide them.)</t>
        </is>
      </c>
      <c r="D9" s="66" t="n">
        <v>46311</v>
      </c>
      <c r="E9" s="65" t="inlineStr">
        <is>
          <t>Accepted default (follow-on to D5): keep the other providers' code working but label them 'not tested / not officially supported' in the AI settings picker and remove them from all marketing and docs. Owner can instead ask for them to be hidden.</t>
        </is>
      </c>
      <c r="F9" s="65" t="inlineStr">
        <is>
          <t>Decided</t>
        </is>
      </c>
    </row>
    <row r="10" ht="46.25" customHeight="1" s="50">
      <c r="A10" s="65" t="inlineStr">
        <is>
          <t>D10</t>
        </is>
      </c>
      <c r="B10" s="65" t="inlineStr">
        <is>
          <t>Replies to customers currently come from yourownworld.admin@gmail.com (shown as 'Morgan Bishop'), not support@/founders@yourownworld.co.uk, which the Terms and Privacy pages publish. Fix before launch, or accept?</t>
        </is>
      </c>
      <c r="C10" s="65" t="inlineStr">
        <is>
          <t>Fix before launch (O16): it keeps the published support address consistent and avoids replies landing in spam.</t>
        </is>
      </c>
      <c r="D10" s="66" t="n">
        <v>46315</v>
      </c>
      <c r="E10" s="65" t="inlineStr">
        <is>
          <t>Fix before launch (owner confirmed 30 Sep). Done 3 Oct via O16 for support@; owner chose to send only from support@ (no founders@ send-as).</t>
        </is>
      </c>
      <c r="F10" s="65" t="inlineStr">
        <is>
          <t>Decided</t>
        </is>
      </c>
    </row>
    <row r="11" ht="46.25" customHeight="1" s="50">
      <c r="A11" s="65" t="inlineStr">
        <is>
          <t>D8</t>
        </is>
      </c>
      <c r="B11" s="65" t="inlineStr">
        <is>
          <t>Resume Stripe work: the roadmap parked payments (18 Sep); this sprint schedules 21-24 Oct for it.</t>
        </is>
      </c>
      <c r="C11" s="65" t="inlineStr">
        <is>
          <t>Confirm; PAYMENT_ROADMAP.md stays the Stripe tracker while the sprint drives the schedule.</t>
        </is>
      </c>
      <c r="D11" s="66" t="n">
        <v>46315</v>
      </c>
      <c r="E11" s="65" t="inlineStr">
        <is>
          <t>Accepted default: Stripe work resumes 21-25 Oct; PAYMENT_ROADMAP.md stays the tracker.</t>
        </is>
      </c>
      <c r="F11" s="65" t="inlineStr">
        <is>
          <t>Decided</t>
        </is>
      </c>
    </row>
    <row r="12" ht="35.05" customHeight="1" s="50">
      <c r="A12" s="65" t="inlineStr">
        <is>
          <t>D7</t>
        </is>
      </c>
      <c r="B12" s="65" t="inlineStr">
        <is>
          <t>Remove the temporary 'Paid plans are coming soon' interest flow when checkout goes live?</t>
        </is>
      </c>
      <c r="C12" s="65" t="inlineStr">
        <is>
          <t>Yes, remove it; it grants automatic Beta access and conflicts with real checkout.</t>
        </is>
      </c>
      <c r="D12" s="66" t="n">
        <v>46316</v>
      </c>
      <c r="E12" s="65" t="inlineStr">
        <is>
          <t>Accepted default: remove the 'coming soon' interest flow when checkout goes live.</t>
        </is>
      </c>
      <c r="F12" s="65" t="inlineStr">
        <is>
          <t>Decided</t>
        </is>
      </c>
    </row>
    <row r="13" ht="46.25" customHeight="1" s="50">
      <c r="A13" s="65" t="inlineStr">
        <is>
          <t>D6</t>
        </is>
      </c>
      <c r="B13" s="65" t="inlineStr">
        <is>
          <t>Latest date you would still accept a launch slip, and the fallback date.</t>
        </is>
      </c>
      <c r="C13" s="65" t="inlineStr">
        <is>
          <t>Pick a cut-off by 25 Oct so nothing is decided under pressure. Launch stays 1-2 Nov unless a gate fails.</t>
        </is>
      </c>
      <c r="D13" s="66" t="n">
        <v>46320</v>
      </c>
      <c r="E13" s="65" t="inlineStr">
        <is>
          <t>Accepted default: launch date is fixed at 1 Nov (quiet release; public 2 Nov). Owner to name a fallback date by 25 Oct.</t>
        </is>
      </c>
      <c r="F13" s="65" t="inlineStr">
        <is>
          <t>Decided</t>
        </is>
      </c>
    </row>
  </sheetData>
  <dataValidations count="1">
    <dataValidation sqref="F4:F13" showDropDown="0" showInputMessage="0" showErrorMessage="0" allowBlank="1" type="list" errorStyle="stop" operator="between">
      <formula1>"Open,Decided"</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en-GB</dc:language>
  <dcterms:created xsi:type="dcterms:W3CDTF">2026-10-05T22:16:59Z</dcterms:created>
  <dcterms:modified xsi:type="dcterms:W3CDTF">2026-10-05T22:16:59Z</dcterms:modified>
  <cp:revision>0</cp:revision>
</cp:coreProperties>
</file>
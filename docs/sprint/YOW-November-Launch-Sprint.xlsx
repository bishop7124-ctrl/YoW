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Do Now"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workbook>
</file>

<file path=xl/styles.xml><?xml version="1.0" encoding="utf-8"?>
<styleSheet xmlns="http://schemas.openxmlformats.org/spreadsheetml/2006/main">
  <numFmts count="2">
    <numFmt numFmtId="164" formatCode="ddd d mmm"/>
    <numFmt numFmtId="165" formatCode="yyyy-mm-dd"/>
  </numFmts>
  <fonts count="13">
    <font>
      <name val="Carlito"/>
      <sz val="11"/>
    </font>
    <font>
      <name val="Arial"/>
      <b val="1"/>
      <color rgb="FF17324D"/>
      <sz val="16"/>
    </font>
    <font>
      <name val="Arial"/>
      <i val="1"/>
      <color rgb="FF566573"/>
      <sz val="10"/>
    </font>
    <font>
      <name val="Arial"/>
      <b val="1"/>
      <color rgb="FFFFFFFF"/>
      <sz val="11"/>
    </font>
    <font>
      <name val="Arial"/>
      <color rgb="FF243442"/>
      <sz val="10"/>
    </font>
    <font>
      <name val="Arial"/>
      <b val="1"/>
      <color rgb="FF17324D"/>
      <sz val="10"/>
    </font>
    <font>
      <name val="Arial"/>
      <b val="1"/>
      <color rgb="FF17324D"/>
      <sz val="11"/>
    </font>
    <font>
      <name val="Arial"/>
      <color rgb="FF5A4625"/>
      <sz val="10"/>
    </font>
    <font>
      <name val="Arial"/>
      <b val="1"/>
      <color rgb="FFFFFFFF"/>
      <sz val="10"/>
    </font>
    <font>
      <name val="Arial"/>
      <color rgb="FF243442"/>
      <sz val="9"/>
    </font>
    <font>
      <b val="1"/>
      <sz val="13"/>
    </font>
    <font>
      <b val="1"/>
      <color rgb="00FFFFFF"/>
    </font>
    <font>
      <b val="1"/>
    </font>
  </fonts>
  <fills count="16">
    <fill>
      <patternFill/>
    </fill>
    <fill>
      <patternFill patternType="gray125"/>
    </fill>
    <fill>
      <patternFill patternType="solid">
        <fgColor rgb="FF17324D"/>
      </patternFill>
    </fill>
    <fill>
      <patternFill patternType="solid">
        <fgColor rgb="FFF7F9FA"/>
      </patternFill>
    </fill>
    <fill>
      <patternFill patternType="solid">
        <fgColor rgb="FFF3F6F8"/>
      </patternFill>
    </fill>
    <fill>
      <patternFill patternType="solid">
        <fgColor rgb="FFFFF7E6"/>
      </patternFill>
    </fill>
    <fill>
      <patternFill patternType="solid">
        <fgColor rgb="FFDCEAF7"/>
      </patternFill>
    </fill>
    <fill>
      <patternFill patternType="solid">
        <fgColor rgb="FFE9E1F5"/>
      </patternFill>
    </fill>
    <fill>
      <patternFill patternType="solid">
        <fgColor rgb="FFFCE8E6"/>
      </patternFill>
    </fill>
    <fill>
      <patternFill patternType="solid">
        <fgColor rgb="FFDFF1E8"/>
      </patternFill>
    </fill>
    <fill>
      <patternFill patternType="solid">
        <fgColor rgb="FFFDF1D5"/>
      </patternFill>
    </fill>
    <fill>
      <patternFill patternType="solid">
        <fgColor rgb="FFD4E8E6"/>
      </patternFill>
    </fill>
    <fill>
      <patternFill patternType="solid">
        <fgColor rgb="FFB9DED7"/>
      </patternFill>
    </fill>
    <fill>
      <patternFill patternType="solid">
        <fgColor rgb="FFFFFFFF"/>
      </patternFill>
    </fill>
    <fill>
      <patternFill patternType="solid">
        <fgColor rgb="FFF3EEF9"/>
      </patternFill>
    </fill>
    <fill>
      <patternFill patternType="solid">
        <fgColor rgb="001F4E5F"/>
      </patternFill>
    </fill>
  </fills>
  <borders count="29">
    <border/>
    <border>
      <left style="thin">
        <color rgb="FFC9D3DC"/>
      </left>
      <top style="thin">
        <color rgb="FFC9D3DC"/>
      </top>
    </border>
    <border>
      <top style="thin">
        <color rgb="FFC9D3DC"/>
      </top>
    </border>
    <border>
      <right style="thin">
        <color rgb="FFC9D3DC"/>
      </right>
      <top style="thin">
        <color rgb="FFC9D3DC"/>
      </top>
    </border>
    <border>
      <left style="thin">
        <color rgb="FFC9D3DC"/>
      </left>
    </border>
    <border>
      <right style="thin">
        <color rgb="FFC9D3DC"/>
      </right>
    </border>
    <border>
      <left style="thin">
        <color rgb="FFC9D3DC"/>
      </left>
      <bottom style="thin">
        <color rgb="FFC9D3DC"/>
      </bottom>
    </border>
    <border>
      <bottom style="thin">
        <color rgb="FFC9D3DC"/>
      </bottom>
    </border>
    <border>
      <right style="thin">
        <color rgb="FFC9D3DC"/>
      </right>
      <bottom style="thin">
        <color rgb="FFC9D3DC"/>
      </bottom>
    </border>
    <border>
      <left style="thin">
        <color rgb="FFE8C980"/>
      </left>
      <top style="thin">
        <color rgb="FFE8C980"/>
      </top>
    </border>
    <border>
      <top style="thin">
        <color rgb="FFE8C980"/>
      </top>
    </border>
    <border>
      <right style="thin">
        <color rgb="FFE8C980"/>
      </right>
      <top style="thin">
        <color rgb="FFE8C980"/>
      </top>
    </border>
    <border>
      <left style="thin">
        <color rgb="FFE8C980"/>
      </left>
    </border>
    <border>
      <right style="thin">
        <color rgb="FFE8C980"/>
      </right>
    </border>
    <border>
      <left style="thin">
        <color rgb="FFE8C980"/>
      </left>
      <bottom style="thin">
        <color rgb="FFE8C980"/>
      </bottom>
    </border>
    <border>
      <bottom style="thin">
        <color rgb="FFE8C980"/>
      </bottom>
    </border>
    <border>
      <right style="thin">
        <color rgb="FFE8C980"/>
      </right>
      <bottom style="thin">
        <color rgb="FFE8C980"/>
      </bottom>
    </border>
    <border>
      <bottom style="thin">
        <color rgb="FFDDE3E8"/>
      </bottom>
    </border>
    <border>
      <top style="thin">
        <color rgb="FFDDE3E8"/>
      </top>
      <bottom style="thin">
        <color rgb="FFDDE3E8"/>
      </bottom>
    </border>
    <border>
      <top style="thin">
        <color rgb="FFDDE3E8"/>
      </top>
      <bottom style="thin">
        <color rgb="FFAAB7C2"/>
      </bottom>
    </border>
    <border>
      <left style="thin">
        <color rgb="FFAAB7C2"/>
      </left>
      <top style="thin">
        <color rgb="FFAAB7C2"/>
      </top>
      <bottom style="thin">
        <color rgb="FFAAB7C2"/>
      </bottom>
    </border>
    <border>
      <top style="thin">
        <color rgb="FFAAB7C2"/>
      </top>
      <bottom style="thin">
        <color rgb="FFAAB7C2"/>
      </bottom>
    </border>
    <border>
      <right style="thin">
        <color rgb="FFAAB7C2"/>
      </right>
      <top style="thin">
        <color rgb="FFAAB7C2"/>
      </top>
      <bottom style="thin">
        <color rgb="FFAAB7C2"/>
      </bottom>
    </border>
    <border>
      <top style="thin">
        <color rgb="FFDDE3E8"/>
      </top>
    </border>
    <border>
      <left style="thin">
        <color rgb="FFC9D3DC"/>
      </left>
      <right style="thin">
        <color rgb="FFC9D3DC"/>
      </right>
      <top style="thin">
        <color rgb="FFC9D3DC"/>
      </top>
      <bottom style="thin">
        <color rgb="FFC9D3DC"/>
      </bottom>
    </border>
    <border>
      <left style="thin">
        <color rgb="FFE8C980"/>
      </left>
      <right style="thin">
        <color rgb="FFE8C980"/>
      </right>
      <top style="thin">
        <color rgb="FFE8C980"/>
      </top>
      <bottom style="thin">
        <color rgb="FFE8C980"/>
      </bottom>
    </border>
    <border>
      <left style="thin">
        <color rgb="FFAAB7C2"/>
      </left>
      <right style="thin">
        <color rgb="FFAAB7C2"/>
      </right>
      <top style="thin">
        <color rgb="FFAAB7C2"/>
      </top>
      <bottom style="thin">
        <color rgb="FFAAB7C2"/>
      </bottom>
    </border>
    <border>
      <top style="thin">
        <color rgb="FFAAB7C2"/>
      </top>
    </border>
    <border>
      <right style="thin">
        <color rgb="FFAAB7C2"/>
      </right>
      <top style="thin">
        <color rgb="FFAAB7C2"/>
      </top>
    </border>
  </borders>
  <cellStyleXfs count="1">
    <xf numFmtId="0" fontId="0" fillId="0" borderId="0"/>
  </cellStyleXfs>
  <cellXfs count="27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pivotButton="0" quotePrefix="0" xfId="0"/>
    <xf numFmtId="0" fontId="3" fillId="2" borderId="0" applyAlignment="1" pivotButton="0" quotePrefix="0" xfId="0">
      <alignment vertical="center"/>
    </xf>
    <xf numFmtId="0" fontId="0" fillId="3" borderId="0" pivotButton="0" quotePrefix="0" xfId="0"/>
    <xf numFmtId="0" fontId="4" fillId="3" borderId="0" pivotButton="0" quotePrefix="0" xfId="0"/>
    <xf numFmtId="0" fontId="4" fillId="3" borderId="1" pivotButton="0" quotePrefix="0" xfId="0"/>
    <xf numFmtId="0" fontId="4" fillId="3" borderId="2" pivotButton="0" quotePrefix="0" xfId="0"/>
    <xf numFmtId="0" fontId="4" fillId="3" borderId="3" pivotButton="0" quotePrefix="0" xfId="0"/>
    <xf numFmtId="0" fontId="4" fillId="3" borderId="4" pivotButton="0" quotePrefix="0" xfId="0"/>
    <xf numFmtId="0" fontId="4" fillId="3" borderId="5"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1" applyAlignment="1" pivotButton="0" quotePrefix="0" xfId="0">
      <alignment wrapText="1"/>
    </xf>
    <xf numFmtId="0" fontId="4" fillId="3" borderId="2" applyAlignment="1" pivotButton="0" quotePrefix="0" xfId="0">
      <alignment wrapText="1"/>
    </xf>
    <xf numFmtId="0" fontId="4" fillId="3" borderId="3" applyAlignment="1" pivotButton="0" quotePrefix="0" xfId="0">
      <alignment wrapText="1"/>
    </xf>
    <xf numFmtId="0" fontId="4" fillId="3" borderId="4" applyAlignment="1" pivotButton="0" quotePrefix="0" xfId="0">
      <alignment wrapText="1"/>
    </xf>
    <xf numFmtId="0" fontId="4" fillId="3" borderId="0" applyAlignment="1" pivotButton="0" quotePrefix="0" xfId="0">
      <alignment wrapText="1"/>
    </xf>
    <xf numFmtId="0" fontId="4" fillId="3" borderId="5" applyAlignment="1" pivotButton="0" quotePrefix="0" xfId="0">
      <alignment wrapText="1"/>
    </xf>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1" applyAlignment="1" pivotButton="0" quotePrefix="0" xfId="0">
      <alignment vertical="top" wrapText="1"/>
    </xf>
    <xf numFmtId="0" fontId="4" fillId="3" borderId="2" applyAlignment="1" pivotButton="0" quotePrefix="0" xfId="0">
      <alignment vertical="top" wrapText="1"/>
    </xf>
    <xf numFmtId="0" fontId="4" fillId="3" borderId="3" applyAlignment="1" pivotButton="0" quotePrefix="0" xfId="0">
      <alignment vertical="top" wrapText="1"/>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9" fontId="0" fillId="0" borderId="0" pivotButton="0" quotePrefix="0" xfId="0"/>
    <xf numFmtId="0" fontId="5" fillId="0" borderId="0" pivotButton="0" quotePrefix="0" xfId="0"/>
    <xf numFmtId="0" fontId="6" fillId="0" borderId="0" pivotButton="0" quotePrefix="0" xfId="0"/>
    <xf numFmtId="9" fontId="6" fillId="0" borderId="0" pivotButton="0" quotePrefix="0" xfId="0"/>
    <xf numFmtId="0" fontId="5" fillId="4" borderId="0" pivotButton="0" quotePrefix="0" xfId="0"/>
    <xf numFmtId="0" fontId="6" fillId="4" borderId="0" pivotButton="0" quotePrefix="0" xfId="0"/>
    <xf numFmtId="9" fontId="6" fillId="4" borderId="0" pivotButton="0" quotePrefix="0" xfId="0"/>
    <xf numFmtId="0" fontId="5" fillId="4" borderId="1" pivotButton="0" quotePrefix="0" xfId="0"/>
    <xf numFmtId="0" fontId="6" fillId="4" borderId="3" pivotButton="0" quotePrefix="0" xfId="0"/>
    <xf numFmtId="0" fontId="5" fillId="4" borderId="4" pivotButton="0" quotePrefix="0" xfId="0"/>
    <xf numFmtId="0" fontId="6" fillId="4" borderId="5" pivotButton="0" quotePrefix="0" xfId="0"/>
    <xf numFmtId="0" fontId="5" fillId="4" borderId="6" pivotButton="0" quotePrefix="0" xfId="0"/>
    <xf numFmtId="9" fontId="6" fillId="4" borderId="8" pivotButton="0" quotePrefix="0" xfId="0"/>
    <xf numFmtId="0" fontId="0" fillId="5" borderId="0" pivotButton="0" quotePrefix="0" xfId="0"/>
    <xf numFmtId="0" fontId="7" fillId="5" borderId="0" pivotButton="0" quotePrefix="0" xfId="0"/>
    <xf numFmtId="0" fontId="7" fillId="5" borderId="9" pivotButton="0" quotePrefix="0" xfId="0"/>
    <xf numFmtId="0" fontId="7" fillId="5" borderId="10" pivotButton="0" quotePrefix="0" xfId="0"/>
    <xf numFmtId="0" fontId="7" fillId="5" borderId="11" pivotButton="0" quotePrefix="0" xfId="0"/>
    <xf numFmtId="0" fontId="7" fillId="5" borderId="12" pivotButton="0" quotePrefix="0" xfId="0"/>
    <xf numFmtId="0" fontId="7" fillId="5" borderId="13" pivotButton="0" quotePrefix="0" xfId="0"/>
    <xf numFmtId="0" fontId="7" fillId="5" borderId="14" pivotButton="0" quotePrefix="0" xfId="0"/>
    <xf numFmtId="0" fontId="7" fillId="5" borderId="15" pivotButton="0" quotePrefix="0" xfId="0"/>
    <xf numFmtId="0" fontId="7" fillId="5" borderId="16" pivotButton="0" quotePrefix="0" xfId="0"/>
    <xf numFmtId="0" fontId="7" fillId="5" borderId="9" applyAlignment="1" pivotButton="0" quotePrefix="0" xfId="0">
      <alignment wrapText="1"/>
    </xf>
    <xf numFmtId="0" fontId="7" fillId="5" borderId="10" applyAlignment="1" pivotButton="0" quotePrefix="0" xfId="0">
      <alignment wrapText="1"/>
    </xf>
    <xf numFmtId="0" fontId="7" fillId="5" borderId="11" applyAlignment="1" pivotButton="0" quotePrefix="0" xfId="0">
      <alignment wrapText="1"/>
    </xf>
    <xf numFmtId="0" fontId="7" fillId="5" borderId="12" applyAlignment="1" pivotButton="0" quotePrefix="0" xfId="0">
      <alignment wrapText="1"/>
    </xf>
    <xf numFmtId="0" fontId="7" fillId="5" borderId="0" applyAlignment="1" pivotButton="0" quotePrefix="0" xfId="0">
      <alignment wrapText="1"/>
    </xf>
    <xf numFmtId="0" fontId="7" fillId="5" borderId="13" applyAlignment="1" pivotButton="0" quotePrefix="0" xfId="0">
      <alignment wrapText="1"/>
    </xf>
    <xf numFmtId="0" fontId="7" fillId="5" borderId="14" applyAlignment="1" pivotButton="0" quotePrefix="0" xfId="0">
      <alignment wrapText="1"/>
    </xf>
    <xf numFmtId="0" fontId="7" fillId="5" borderId="15" applyAlignment="1" pivotButton="0" quotePrefix="0" xfId="0">
      <alignment wrapText="1"/>
    </xf>
    <xf numFmtId="0" fontId="7" fillId="5" borderId="16" applyAlignment="1" pivotButton="0" quotePrefix="0" xfId="0">
      <alignment wrapText="1"/>
    </xf>
    <xf numFmtId="0" fontId="7" fillId="5" borderId="9" applyAlignment="1" pivotButton="0" quotePrefix="0" xfId="0">
      <alignment vertical="center" wrapText="1"/>
    </xf>
    <xf numFmtId="0" fontId="7" fillId="5" borderId="10" applyAlignment="1" pivotButton="0" quotePrefix="0" xfId="0">
      <alignment vertical="center" wrapText="1"/>
    </xf>
    <xf numFmtId="0" fontId="7" fillId="5" borderId="11" applyAlignment="1" pivotButton="0" quotePrefix="0" xfId="0">
      <alignment vertical="center" wrapText="1"/>
    </xf>
    <xf numFmtId="0" fontId="7" fillId="5" borderId="12" applyAlignment="1" pivotButton="0" quotePrefix="0" xfId="0">
      <alignment vertical="center" wrapText="1"/>
    </xf>
    <xf numFmtId="0" fontId="7" fillId="5" borderId="0" applyAlignment="1" pivotButton="0" quotePrefix="0" xfId="0">
      <alignment vertical="center" wrapText="1"/>
    </xf>
    <xf numFmtId="0" fontId="7" fillId="5" borderId="13" applyAlignment="1" pivotButton="0" quotePrefix="0" xfId="0">
      <alignment vertical="center" wrapText="1"/>
    </xf>
    <xf numFmtId="0" fontId="7" fillId="5" borderId="14" applyAlignment="1" pivotButton="0" quotePrefix="0" xfId="0">
      <alignment vertical="center" wrapText="1"/>
    </xf>
    <xf numFmtId="0" fontId="7" fillId="5" borderId="15" applyAlignment="1" pivotButton="0" quotePrefix="0" xfId="0">
      <alignment vertical="center" wrapText="1"/>
    </xf>
    <xf numFmtId="0" fontId="7" fillId="5" borderId="16" applyAlignment="1" pivotButton="0" quotePrefix="0" xfId="0">
      <alignment vertical="center" wrapText="1"/>
    </xf>
    <xf numFmtId="164" fontId="0" fillId="0" borderId="0" pivotButton="0" quotePrefix="0" xfId="0"/>
    <xf numFmtId="0" fontId="4" fillId="0" borderId="0" pivotButton="0" quotePrefix="0" xfId="0"/>
    <xf numFmtId="164" fontId="4" fillId="0" borderId="0" pivotButton="0" quotePrefix="0" xfId="0"/>
    <xf numFmtId="0" fontId="4" fillId="2" borderId="0" pivotButton="0" quotePrefix="0" xfId="0"/>
    <xf numFmtId="0" fontId="8" fillId="2" borderId="0" pivotButton="0" quotePrefix="0" xfId="0"/>
    <xf numFmtId="0" fontId="8" fillId="2"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horizontal="center" vertical="center" wrapText="1"/>
    </xf>
    <xf numFmtId="164"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horizontal="center" vertical="top"/>
    </xf>
    <xf numFmtId="0" fontId="4" fillId="6" borderId="0" applyAlignment="1" pivotButton="0" quotePrefix="0" xfId="0">
      <alignment vertical="top"/>
    </xf>
    <xf numFmtId="0" fontId="4" fillId="7"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xf numFmtId="0" fontId="4" fillId="11" borderId="0" applyAlignment="1" pivotButton="0" quotePrefix="0" xfId="0">
      <alignment vertical="top"/>
    </xf>
    <xf numFmtId="0" fontId="4" fillId="12" borderId="0" applyAlignment="1" pivotButton="0" quotePrefix="0" xfId="0">
      <alignment vertical="top"/>
    </xf>
    <xf numFmtId="0" fontId="8" fillId="2" borderId="17" applyAlignment="1" pivotButton="0" quotePrefix="0" xfId="0">
      <alignment horizontal="center" vertical="center" wrapText="1"/>
    </xf>
    <xf numFmtId="164" fontId="4" fillId="0" borderId="18" applyAlignment="1" pivotButton="0" quotePrefix="0" xfId="0">
      <alignment vertical="top"/>
    </xf>
    <xf numFmtId="0" fontId="4" fillId="0" borderId="18" applyAlignment="1" pivotButton="0" quotePrefix="0" xfId="0">
      <alignment vertical="top"/>
    </xf>
    <xf numFmtId="0" fontId="4" fillId="6" borderId="18" applyAlignment="1" pivotButton="0" quotePrefix="0" xfId="0">
      <alignment vertical="top"/>
    </xf>
    <xf numFmtId="0" fontId="4" fillId="0" borderId="18" applyAlignment="1" pivotButton="0" quotePrefix="0" xfId="0">
      <alignment vertical="top" wrapText="1"/>
    </xf>
    <xf numFmtId="0" fontId="4" fillId="0" borderId="18" applyAlignment="1" pivotButton="0" quotePrefix="0" xfId="0">
      <alignment horizontal="center" vertical="top"/>
    </xf>
    <xf numFmtId="0" fontId="4" fillId="7" borderId="18" applyAlignment="1" pivotButton="0" quotePrefix="0" xfId="0">
      <alignment vertical="top"/>
    </xf>
    <xf numFmtId="0" fontId="4" fillId="8" borderId="18" applyAlignment="1" pivotButton="0" quotePrefix="0" xfId="0">
      <alignment vertical="top"/>
    </xf>
    <xf numFmtId="0" fontId="4" fillId="9" borderId="18" applyAlignment="1" pivotButton="0" quotePrefix="0" xfId="0">
      <alignment vertical="top"/>
    </xf>
    <xf numFmtId="0" fontId="4" fillId="10" borderId="18" applyAlignment="1" pivotButton="0" quotePrefix="0" xfId="0">
      <alignment vertical="top"/>
    </xf>
    <xf numFmtId="0" fontId="4" fillId="11" borderId="18" applyAlignment="1" pivotButton="0" quotePrefix="0" xfId="0">
      <alignment vertical="top"/>
    </xf>
    <xf numFmtId="164" fontId="4" fillId="0" borderId="19" applyAlignment="1" pivotButton="0" quotePrefix="0" xfId="0">
      <alignment vertical="top"/>
    </xf>
    <xf numFmtId="0" fontId="4" fillId="0" borderId="19" applyAlignment="1" pivotButton="0" quotePrefix="0" xfId="0">
      <alignment vertical="top"/>
    </xf>
    <xf numFmtId="0" fontId="4" fillId="12" borderId="19" applyAlignment="1" pivotButton="0" quotePrefix="0" xfId="0">
      <alignment vertical="top"/>
    </xf>
    <xf numFmtId="0" fontId="4" fillId="0" borderId="19" applyAlignment="1" pivotButton="0" quotePrefix="0" xfId="0">
      <alignment vertical="top" wrapText="1"/>
    </xf>
    <xf numFmtId="0" fontId="4" fillId="0" borderId="19" applyAlignment="1" pivotButton="0" quotePrefix="0" xfId="0">
      <alignment horizontal="center" vertical="top"/>
    </xf>
    <xf numFmtId="0" fontId="0" fillId="6" borderId="0" pivotButton="0" quotePrefix="0" xfId="0"/>
    <xf numFmtId="0" fontId="6" fillId="6" borderId="0" pivotButton="0" quotePrefix="0" xfId="0"/>
    <xf numFmtId="0" fontId="6" fillId="6" borderId="20" pivotButton="0" quotePrefix="0" xfId="0"/>
    <xf numFmtId="0" fontId="6" fillId="6" borderId="21" pivotButton="0" quotePrefix="0" xfId="0"/>
    <xf numFmtId="0" fontId="6" fillId="6" borderId="22" pivotButton="0" quotePrefix="0" xfId="0"/>
    <xf numFmtId="0" fontId="6" fillId="6" borderId="20" applyAlignment="1" pivotButton="0" quotePrefix="0" xfId="0">
      <alignment vertical="center"/>
    </xf>
    <xf numFmtId="0" fontId="6" fillId="6" borderId="21" applyAlignment="1" pivotButton="0" quotePrefix="0" xfId="0">
      <alignment vertical="center"/>
    </xf>
    <xf numFmtId="0" fontId="6" fillId="6" borderId="22" applyAlignment="1" pivotButton="0" quotePrefix="0" xfId="0">
      <alignment vertical="center"/>
    </xf>
    <xf numFmtId="0" fontId="8" fillId="2" borderId="20" pivotButton="0" quotePrefix="0" xfId="0"/>
    <xf numFmtId="0" fontId="8" fillId="2" borderId="22" pivotButton="0" quotePrefix="0" xfId="0"/>
    <xf numFmtId="0" fontId="8" fillId="2" borderId="20" applyAlignment="1" pivotButton="0" quotePrefix="0" xfId="0">
      <alignment horizontal="center"/>
    </xf>
    <xf numFmtId="0" fontId="8" fillId="2" borderId="22" applyAlignment="1" pivotButton="0" quotePrefix="0" xfId="0">
      <alignment horizontal="center"/>
    </xf>
    <xf numFmtId="0" fontId="8" fillId="2" borderId="20" applyAlignment="1" pivotButton="0" quotePrefix="0" xfId="0">
      <alignment horizontal="center" vertical="center"/>
    </xf>
    <xf numFmtId="0" fontId="8" fillId="2" borderId="22" applyAlignment="1" pivotButton="0" quotePrefix="0" xfId="0">
      <alignment horizontal="center" vertical="center"/>
    </xf>
    <xf numFmtId="0" fontId="0" fillId="13" borderId="0" pivotButton="0" quotePrefix="0" xfId="0"/>
    <xf numFmtId="0" fontId="9" fillId="13" borderId="0" pivotButton="0" quotePrefix="0" xfId="0"/>
    <xf numFmtId="0" fontId="9" fillId="13" borderId="1" pivotButton="0" quotePrefix="0" xfId="0"/>
    <xf numFmtId="0" fontId="9" fillId="13" borderId="3" pivotButton="0" quotePrefix="0" xfId="0"/>
    <xf numFmtId="0" fontId="9" fillId="13" borderId="4" pivotButton="0" quotePrefix="0" xfId="0"/>
    <xf numFmtId="0" fontId="9" fillId="13" borderId="5" pivotButton="0" quotePrefix="0" xfId="0"/>
    <xf numFmtId="0" fontId="9" fillId="13" borderId="6" pivotButton="0" quotePrefix="0" xfId="0"/>
    <xf numFmtId="0" fontId="9" fillId="13" borderId="8" pivotButton="0" quotePrefix="0" xfId="0"/>
    <xf numFmtId="0" fontId="9" fillId="13" borderId="1" applyAlignment="1" pivotButton="0" quotePrefix="0" xfId="0">
      <alignment wrapText="1"/>
    </xf>
    <xf numFmtId="0" fontId="9" fillId="13" borderId="3" applyAlignment="1" pivotButton="0" quotePrefix="0" xfId="0">
      <alignment wrapText="1"/>
    </xf>
    <xf numFmtId="0" fontId="9" fillId="13" borderId="4" applyAlignment="1" pivotButton="0" quotePrefix="0" xfId="0">
      <alignment wrapText="1"/>
    </xf>
    <xf numFmtId="0" fontId="9" fillId="13" borderId="5" applyAlignment="1" pivotButton="0" quotePrefix="0" xfId="0">
      <alignment wrapText="1"/>
    </xf>
    <xf numFmtId="0" fontId="9" fillId="13" borderId="6" applyAlignment="1" pivotButton="0" quotePrefix="0" xfId="0">
      <alignment wrapText="1"/>
    </xf>
    <xf numFmtId="0" fontId="9" fillId="13" borderId="8" applyAlignment="1" pivotButton="0" quotePrefix="0" xfId="0">
      <alignment wrapText="1"/>
    </xf>
    <xf numFmtId="0" fontId="9" fillId="13" borderId="1" applyAlignment="1" pivotButton="0" quotePrefix="0" xfId="0">
      <alignment vertical="top" wrapText="1"/>
    </xf>
    <xf numFmtId="0" fontId="9" fillId="13" borderId="3" applyAlignment="1" pivotButton="0" quotePrefix="0" xfId="0">
      <alignment vertical="top" wrapText="1"/>
    </xf>
    <xf numFmtId="0" fontId="9" fillId="13" borderId="4" applyAlignment="1" pivotButton="0" quotePrefix="0" xfId="0">
      <alignment vertical="top" wrapText="1"/>
    </xf>
    <xf numFmtId="0" fontId="9" fillId="13" borderId="5" applyAlignment="1" pivotButton="0" quotePrefix="0" xfId="0">
      <alignment vertical="top" wrapText="1"/>
    </xf>
    <xf numFmtId="0" fontId="9" fillId="13" borderId="6" applyAlignment="1" pivotButton="0" quotePrefix="0" xfId="0">
      <alignment vertical="top" wrapText="1"/>
    </xf>
    <xf numFmtId="0" fontId="9" fillId="13" borderId="8" applyAlignment="1" pivotButton="0" quotePrefix="0" xfId="0">
      <alignment vertical="top" wrapText="1"/>
    </xf>
    <xf numFmtId="0" fontId="0" fillId="14" borderId="0" pivotButton="0" quotePrefix="0" xfId="0"/>
    <xf numFmtId="0" fontId="9" fillId="14" borderId="0" pivotButton="0" quotePrefix="0" xfId="0"/>
    <xf numFmtId="0" fontId="9" fillId="14" borderId="1" pivotButton="0" quotePrefix="0" xfId="0"/>
    <xf numFmtId="0" fontId="9" fillId="14" borderId="3" pivotButton="0" quotePrefix="0" xfId="0"/>
    <xf numFmtId="0" fontId="9" fillId="14" borderId="4" pivotButton="0" quotePrefix="0" xfId="0"/>
    <xf numFmtId="0" fontId="9" fillId="14" borderId="5" pivotButton="0" quotePrefix="0" xfId="0"/>
    <xf numFmtId="0" fontId="9" fillId="14" borderId="6" pivotButton="0" quotePrefix="0" xfId="0"/>
    <xf numFmtId="0" fontId="9" fillId="14" borderId="8" pivotButton="0" quotePrefix="0" xfId="0"/>
    <xf numFmtId="0" fontId="9" fillId="14" borderId="1" applyAlignment="1" pivotButton="0" quotePrefix="0" xfId="0">
      <alignment wrapText="1"/>
    </xf>
    <xf numFmtId="0" fontId="9" fillId="14" borderId="3" applyAlignment="1" pivotButton="0" quotePrefix="0" xfId="0">
      <alignment wrapText="1"/>
    </xf>
    <xf numFmtId="0" fontId="9" fillId="14" borderId="4" applyAlignment="1" pivotButton="0" quotePrefix="0" xfId="0">
      <alignment wrapText="1"/>
    </xf>
    <xf numFmtId="0" fontId="9" fillId="14" borderId="5" applyAlignment="1" pivotButton="0" quotePrefix="0" xfId="0">
      <alignment wrapText="1"/>
    </xf>
    <xf numFmtId="0" fontId="9" fillId="14" borderId="6" applyAlignment="1" pivotButton="0" quotePrefix="0" xfId="0">
      <alignment wrapText="1"/>
    </xf>
    <xf numFmtId="0" fontId="9" fillId="14" borderId="8" applyAlignment="1" pivotButton="0" quotePrefix="0" xfId="0">
      <alignment wrapText="1"/>
    </xf>
    <xf numFmtId="0" fontId="9" fillId="14" borderId="1" applyAlignment="1" pivotButton="0" quotePrefix="0" xfId="0">
      <alignment vertical="top" wrapText="1"/>
    </xf>
    <xf numFmtId="0" fontId="9" fillId="14" borderId="3" applyAlignment="1" pivotButton="0" quotePrefix="0" xfId="0">
      <alignment vertical="top" wrapText="1"/>
    </xf>
    <xf numFmtId="0" fontId="9" fillId="14" borderId="4" applyAlignment="1" pivotButton="0" quotePrefix="0" xfId="0">
      <alignment vertical="top" wrapText="1"/>
    </xf>
    <xf numFmtId="0" fontId="9" fillId="14" borderId="5" applyAlignment="1" pivotButton="0" quotePrefix="0" xfId="0">
      <alignment vertical="top" wrapText="1"/>
    </xf>
    <xf numFmtId="0" fontId="9" fillId="14" borderId="6" applyAlignment="1" pivotButton="0" quotePrefix="0" xfId="0">
      <alignment vertical="top" wrapText="1"/>
    </xf>
    <xf numFmtId="0" fontId="9" fillId="14" borderId="8" applyAlignment="1" pivotButton="0" quotePrefix="0" xfId="0">
      <alignment vertical="top" wrapText="1"/>
    </xf>
    <xf numFmtId="0" fontId="0" fillId="8" borderId="0" pivotButton="0" quotePrefix="0" xfId="0"/>
    <xf numFmtId="0" fontId="6" fillId="8" borderId="0" pivotButton="0" quotePrefix="0" xfId="0"/>
    <xf numFmtId="0" fontId="6" fillId="8" borderId="20" pivotButton="0" quotePrefix="0" xfId="0"/>
    <xf numFmtId="0" fontId="6" fillId="8" borderId="21" pivotButton="0" quotePrefix="0" xfId="0"/>
    <xf numFmtId="0" fontId="6" fillId="8" borderId="22" pivotButton="0" quotePrefix="0" xfId="0"/>
    <xf numFmtId="0" fontId="6" fillId="8" borderId="20" applyAlignment="1" pivotButton="0" quotePrefix="0" xfId="0">
      <alignment vertical="center"/>
    </xf>
    <xf numFmtId="0" fontId="6" fillId="8" borderId="21" applyAlignment="1" pivotButton="0" quotePrefix="0" xfId="0">
      <alignment vertical="center"/>
    </xf>
    <xf numFmtId="0" fontId="6" fillId="8" borderId="22" applyAlignment="1" pivotButton="0" quotePrefix="0" xfId="0">
      <alignment vertical="center"/>
    </xf>
    <xf numFmtId="0" fontId="0" fillId="7" borderId="0" pivotButton="0" quotePrefix="0" xfId="0"/>
    <xf numFmtId="0" fontId="6" fillId="7" borderId="0" pivotButton="0" quotePrefix="0" xfId="0"/>
    <xf numFmtId="0" fontId="6" fillId="7" borderId="20" pivotButton="0" quotePrefix="0" xfId="0"/>
    <xf numFmtId="0" fontId="6" fillId="7" borderId="21" pivotButton="0" quotePrefix="0" xfId="0"/>
    <xf numFmtId="0" fontId="6" fillId="7" borderId="22" pivotButton="0" quotePrefix="0" xfId="0"/>
    <xf numFmtId="0" fontId="6" fillId="7" borderId="20" applyAlignment="1" pivotButton="0" quotePrefix="0" xfId="0">
      <alignment vertical="center"/>
    </xf>
    <xf numFmtId="0" fontId="6" fillId="7" borderId="21" applyAlignment="1" pivotButton="0" quotePrefix="0" xfId="0">
      <alignment vertical="center"/>
    </xf>
    <xf numFmtId="0" fontId="6" fillId="7" borderId="22" applyAlignment="1" pivotButton="0" quotePrefix="0" xfId="0">
      <alignment vertical="center"/>
    </xf>
    <xf numFmtId="0" fontId="0" fillId="9" borderId="0" pivotButton="0" quotePrefix="0" xfId="0"/>
    <xf numFmtId="0" fontId="6" fillId="9" borderId="0" pivotButton="0" quotePrefix="0" xfId="0"/>
    <xf numFmtId="0" fontId="6" fillId="9" borderId="20" pivotButton="0" quotePrefix="0" xfId="0"/>
    <xf numFmtId="0" fontId="6" fillId="9" borderId="21" pivotButton="0" quotePrefix="0" xfId="0"/>
    <xf numFmtId="0" fontId="6" fillId="9" borderId="22" pivotButton="0" quotePrefix="0" xfId="0"/>
    <xf numFmtId="0" fontId="6" fillId="9" borderId="20" applyAlignment="1" pivotButton="0" quotePrefix="0" xfId="0">
      <alignment vertical="center"/>
    </xf>
    <xf numFmtId="0" fontId="6" fillId="9" borderId="21" applyAlignment="1" pivotButton="0" quotePrefix="0" xfId="0">
      <alignment vertical="center"/>
    </xf>
    <xf numFmtId="0" fontId="6" fillId="9" borderId="22" applyAlignment="1" pivotButton="0" quotePrefix="0" xfId="0">
      <alignment vertical="center"/>
    </xf>
    <xf numFmtId="0" fontId="0" fillId="10" borderId="0" pivotButton="0" quotePrefix="0" xfId="0"/>
    <xf numFmtId="0" fontId="6" fillId="10" borderId="0" pivotButton="0" quotePrefix="0" xfId="0"/>
    <xf numFmtId="0" fontId="6" fillId="10" borderId="20" pivotButton="0" quotePrefix="0" xfId="0"/>
    <xf numFmtId="0" fontId="6" fillId="10" borderId="21" pivotButton="0" quotePrefix="0" xfId="0"/>
    <xf numFmtId="0" fontId="6" fillId="10" borderId="22" pivotButton="0" quotePrefix="0" xfId="0"/>
    <xf numFmtId="0" fontId="6" fillId="10" borderId="20" applyAlignment="1" pivotButton="0" quotePrefix="0" xfId="0">
      <alignment vertical="center"/>
    </xf>
    <xf numFmtId="0" fontId="6" fillId="10" borderId="21" applyAlignment="1" pivotButton="0" quotePrefix="0" xfId="0">
      <alignment vertical="center"/>
    </xf>
    <xf numFmtId="0" fontId="6" fillId="10" borderId="22" applyAlignment="1" pivotButton="0" quotePrefix="0" xfId="0">
      <alignment vertical="center"/>
    </xf>
    <xf numFmtId="0" fontId="0" fillId="12" borderId="0" pivotButton="0" quotePrefix="0" xfId="0"/>
    <xf numFmtId="0" fontId="6" fillId="12" borderId="0" pivotButton="0" quotePrefix="0" xfId="0"/>
    <xf numFmtId="0" fontId="6" fillId="12" borderId="20" pivotButton="0" quotePrefix="0" xfId="0"/>
    <xf numFmtId="0" fontId="6" fillId="12" borderId="21" pivotButton="0" quotePrefix="0" xfId="0"/>
    <xf numFmtId="0" fontId="6" fillId="12" borderId="22" pivotButton="0" quotePrefix="0" xfId="0"/>
    <xf numFmtId="0" fontId="6" fillId="12" borderId="20" applyAlignment="1" pivotButton="0" quotePrefix="0" xfId="0">
      <alignment vertical="center"/>
    </xf>
    <xf numFmtId="0" fontId="6" fillId="12" borderId="21" applyAlignment="1" pivotButton="0" quotePrefix="0" xfId="0">
      <alignment vertical="center"/>
    </xf>
    <xf numFmtId="0" fontId="6" fillId="12" borderId="22" applyAlignment="1" pivotButton="0" quotePrefix="0" xfId="0">
      <alignment vertical="center"/>
    </xf>
    <xf numFmtId="0" fontId="0" fillId="4" borderId="0" pivotButton="0" quotePrefix="0" xfId="0"/>
    <xf numFmtId="0" fontId="9" fillId="4" borderId="0" pivotButton="0" quotePrefix="0" xfId="0"/>
    <xf numFmtId="0" fontId="9" fillId="4" borderId="1" pivotButton="0" quotePrefix="0" xfId="0"/>
    <xf numFmtId="0" fontId="9" fillId="4" borderId="3" pivotButton="0" quotePrefix="0" xfId="0"/>
    <xf numFmtId="0" fontId="9" fillId="4" borderId="4" pivotButton="0" quotePrefix="0" xfId="0"/>
    <xf numFmtId="0" fontId="9" fillId="4" borderId="5" pivotButton="0" quotePrefix="0" xfId="0"/>
    <xf numFmtId="0" fontId="9" fillId="4" borderId="6" pivotButton="0" quotePrefix="0" xfId="0"/>
    <xf numFmtId="0" fontId="9" fillId="4" borderId="8" pivotButton="0" quotePrefix="0" xfId="0"/>
    <xf numFmtId="0" fontId="9" fillId="4" borderId="1" applyAlignment="1" pivotButton="0" quotePrefix="0" xfId="0">
      <alignment wrapText="1"/>
    </xf>
    <xf numFmtId="0" fontId="9" fillId="4" borderId="3" applyAlignment="1" pivotButton="0" quotePrefix="0" xfId="0">
      <alignment wrapText="1"/>
    </xf>
    <xf numFmtId="0" fontId="9" fillId="4" borderId="4" applyAlignment="1" pivotButton="0" quotePrefix="0" xfId="0">
      <alignment wrapText="1"/>
    </xf>
    <xf numFmtId="0" fontId="9" fillId="4" borderId="5" applyAlignment="1" pivotButton="0" quotePrefix="0" xfId="0">
      <alignment wrapText="1"/>
    </xf>
    <xf numFmtId="0" fontId="9" fillId="4" borderId="6" applyAlignment="1" pivotButton="0" quotePrefix="0" xfId="0">
      <alignment wrapText="1"/>
    </xf>
    <xf numFmtId="0" fontId="9" fillId="4" borderId="8" applyAlignment="1" pivotButton="0" quotePrefix="0" xfId="0">
      <alignment wrapText="1"/>
    </xf>
    <xf numFmtId="0" fontId="9" fillId="4" borderId="1" applyAlignment="1" pivotButton="0" quotePrefix="0" xfId="0">
      <alignment vertical="top" wrapText="1"/>
    </xf>
    <xf numFmtId="0" fontId="9" fillId="4" borderId="3" applyAlignment="1" pivotButton="0" quotePrefix="0" xfId="0">
      <alignment vertical="top" wrapText="1"/>
    </xf>
    <xf numFmtId="0" fontId="9" fillId="4" borderId="4" applyAlignment="1" pivotButton="0" quotePrefix="0" xfId="0">
      <alignment vertical="top" wrapText="1"/>
    </xf>
    <xf numFmtId="0" fontId="9" fillId="4" borderId="5" applyAlignment="1" pivotButton="0" quotePrefix="0" xfId="0">
      <alignment vertical="top" wrapText="1"/>
    </xf>
    <xf numFmtId="0" fontId="9" fillId="4" borderId="6" applyAlignment="1" pivotButton="0" quotePrefix="0" xfId="0">
      <alignment vertical="top" wrapText="1"/>
    </xf>
    <xf numFmtId="0" fontId="9" fillId="4" borderId="8" applyAlignment="1" pivotButton="0" quotePrefix="0" xfId="0">
      <alignment vertical="top" wrapText="1"/>
    </xf>
    <xf numFmtId="0" fontId="8" fillId="2" borderId="0" applyAlignment="1" pivotButton="0" quotePrefix="0" xfId="0">
      <alignment horizontal="center"/>
    </xf>
    <xf numFmtId="0" fontId="8" fillId="2" borderId="0" applyAlignment="1" pivotButton="0" quotePrefix="0" xfId="0">
      <alignment horizontal="center" vertical="center"/>
    </xf>
    <xf numFmtId="0" fontId="4" fillId="0" borderId="17" pivotButton="0" quotePrefix="0" xfId="0"/>
    <xf numFmtId="0" fontId="4" fillId="0" borderId="18" pivotButton="0" quotePrefix="0" xfId="0"/>
    <xf numFmtId="0" fontId="4" fillId="0" borderId="23" pivotButton="0" quotePrefix="0" xfId="0"/>
    <xf numFmtId="0" fontId="4" fillId="0" borderId="17" applyAlignment="1" pivotButton="0" quotePrefix="0" xfId="0">
      <alignment wrapText="1"/>
    </xf>
    <xf numFmtId="0" fontId="4" fillId="0" borderId="18" applyAlignment="1" pivotButton="0" quotePrefix="0" xfId="0">
      <alignment wrapText="1"/>
    </xf>
    <xf numFmtId="0" fontId="4" fillId="0" borderId="23" applyAlignment="1" pivotButton="0" quotePrefix="0" xfId="0">
      <alignment wrapText="1"/>
    </xf>
    <xf numFmtId="0" fontId="4" fillId="0" borderId="17" applyAlignment="1" pivotButton="0" quotePrefix="0" xfId="0">
      <alignment vertical="top" wrapText="1"/>
    </xf>
    <xf numFmtId="0" fontId="4" fillId="0" borderId="23" applyAlignment="1" pivotButton="0" quotePrefix="0" xfId="0">
      <alignment vertical="top" wrapText="1"/>
    </xf>
    <xf numFmtId="0" fontId="4" fillId="3" borderId="24" applyAlignment="1" pivotButton="0" quotePrefix="0" xfId="0">
      <alignment vertical="top"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2" fillId="0" borderId="0" applyAlignment="1" pivotButton="0" quotePrefix="0" xfId="0">
      <alignment vertical="top" wrapText="1"/>
    </xf>
    <xf numFmtId="0" fontId="10" fillId="0" borderId="0" pivotButton="0" quotePrefix="0" xfId="0"/>
    <xf numFmtId="0" fontId="11" fillId="15"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9" fontId="0" fillId="0" borderId="0" pivotButton="0" quotePrefix="0" xfId="0"/>
    <xf numFmtId="0" fontId="7" fillId="5" borderId="25" applyAlignment="1" pivotButton="0" quotePrefix="0" xfId="0">
      <alignment vertical="center" wrapText="1"/>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9" fontId="6" fillId="4" borderId="8" pivotButton="0" quotePrefix="0" xfId="0"/>
    <xf numFmtId="0" fontId="0" fillId="0" borderId="14" pivotButton="0" quotePrefix="0" xfId="0"/>
    <xf numFmtId="0" fontId="0" fillId="0" borderId="15" pivotButton="0" quotePrefix="0" xfId="0"/>
    <xf numFmtId="0" fontId="0" fillId="0" borderId="16" pivotButton="0" quotePrefix="0" xfId="0"/>
    <xf numFmtId="164" fontId="4" fillId="0" borderId="18" applyAlignment="1" pivotButton="0" quotePrefix="0" xfId="0">
      <alignment vertical="top"/>
    </xf>
    <xf numFmtId="164" fontId="4" fillId="0" borderId="19" applyAlignment="1" pivotButton="0" quotePrefix="0" xfId="0">
      <alignment vertical="top"/>
    </xf>
    <xf numFmtId="0" fontId="6" fillId="6" borderId="26" applyAlignment="1" pivotButton="0" quotePrefix="0" xfId="0">
      <alignment vertical="center"/>
    </xf>
    <xf numFmtId="0" fontId="0" fillId="0" borderId="21" pivotButton="0" quotePrefix="0" xfId="0"/>
    <xf numFmtId="0" fontId="0" fillId="0" borderId="22" pivotButton="0" quotePrefix="0" xfId="0"/>
    <xf numFmtId="0" fontId="8" fillId="2" borderId="26" applyAlignment="1" pivotButton="0" quotePrefix="0" xfId="0">
      <alignment horizontal="center" vertical="center"/>
    </xf>
    <xf numFmtId="0" fontId="9" fillId="13" borderId="24" applyAlignment="1" pivotButton="0" quotePrefix="0" xfId="0">
      <alignment vertical="top" wrapText="1"/>
    </xf>
    <xf numFmtId="0" fontId="9" fillId="14" borderId="24" applyAlignment="1" pivotButton="0" quotePrefix="0" xfId="0">
      <alignment vertical="top" wrapText="1"/>
    </xf>
    <xf numFmtId="0" fontId="6" fillId="8" borderId="26" applyAlignment="1" pivotButton="0" quotePrefix="0" xfId="0">
      <alignment vertical="center"/>
    </xf>
    <xf numFmtId="0" fontId="6" fillId="7" borderId="26" applyAlignment="1" pivotButton="0" quotePrefix="0" xfId="0">
      <alignment vertical="center"/>
    </xf>
    <xf numFmtId="0" fontId="6" fillId="9" borderId="26" applyAlignment="1" pivotButton="0" quotePrefix="0" xfId="0">
      <alignment vertical="center"/>
    </xf>
    <xf numFmtId="0" fontId="6" fillId="10" borderId="26" applyAlignment="1" pivotButton="0" quotePrefix="0" xfId="0">
      <alignment vertical="center"/>
    </xf>
    <xf numFmtId="0" fontId="6" fillId="12" borderId="26" applyAlignment="1" pivotButton="0" quotePrefix="0" xfId="0">
      <alignment vertical="center"/>
    </xf>
    <xf numFmtId="0" fontId="9" fillId="4" borderId="24" applyAlignment="1" pivotButton="0" quotePrefix="0" xfId="0">
      <alignment vertical="top" wrapText="1"/>
    </xf>
    <xf numFmtId="0" fontId="12" fillId="0" borderId="0" pivotButton="0" quotePrefix="0" xfId="0"/>
  </cellXfs>
  <cellStyles count="1">
    <cellStyle name="Normal" xfId="0"/>
  </cellStyles>
  <dxfs count="4">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17324D"/>
    <outlinePr summaryBelow="1" summaryRight="1"/>
    <pageSetUpPr/>
  </sheetPr>
  <dimension ref="A2:H54"/>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2">
      <c r="A2" s="1" t="inlineStr">
        <is>
          <t>YOW November launch sprint — start here</t>
        </is>
      </c>
    </row>
    <row r="3">
      <c r="A3" s="2" t="inlineStr">
        <is>
          <t>Quiet release Sunday 1 November · public launch and marketing Monday 2 November</t>
        </is>
      </c>
    </row>
    <row r="5" ht="22" customHeight="1">
      <c r="A5" s="5" t="inlineStr">
        <is>
          <t>The basic routine</t>
        </is>
      </c>
    </row>
    <row r="6" ht="22" customHeight="1">
      <c r="A6" s="23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235" t="n"/>
      <c r="C6" s="235" t="n"/>
      <c r="D6" s="235" t="n"/>
      <c r="E6" s="235" t="n"/>
      <c r="F6" s="235" t="n"/>
      <c r="G6" s="235" t="n"/>
      <c r="H6" s="236" t="n"/>
    </row>
    <row r="7" ht="22" customHeight="1">
      <c r="A7" s="237" t="n"/>
      <c r="H7" s="238" t="n"/>
    </row>
    <row r="8" ht="22" customHeight="1">
      <c r="A8" s="237" t="n"/>
      <c r="H8" s="238" t="n"/>
    </row>
    <row r="9" ht="22" customHeight="1">
      <c r="A9" s="237" t="n"/>
      <c r="H9" s="238" t="n"/>
    </row>
    <row r="10" ht="22" customHeight="1">
      <c r="A10" s="239" t="n"/>
      <c r="B10" s="240" t="n"/>
      <c r="C10" s="240" t="n"/>
      <c r="D10" s="240" t="n"/>
      <c r="E10" s="240" t="n"/>
      <c r="F10" s="240" t="n"/>
      <c r="G10" s="240" t="n"/>
      <c r="H10" s="241" t="n"/>
    </row>
    <row r="11" ht="22" customHeight="1"/>
    <row r="12" ht="22" customHeight="1">
      <c r="A12" s="5" t="inlineStr">
        <is>
          <t>Your non-negotiable time limits</t>
        </is>
      </c>
    </row>
    <row r="13" ht="22" customHeight="1">
      <c r="A13" s="23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235" t="n"/>
      <c r="C13" s="235" t="n"/>
      <c r="D13" s="235" t="n"/>
      <c r="E13" s="235" t="n"/>
      <c r="F13" s="235" t="n"/>
      <c r="G13" s="235" t="n"/>
      <c r="H13" s="236" t="n"/>
    </row>
    <row r="14" ht="22" customHeight="1">
      <c r="A14" s="237" t="n"/>
      <c r="H14" s="238" t="n"/>
    </row>
    <row r="15" ht="22" customHeight="1">
      <c r="A15" s="237" t="n"/>
      <c r="H15" s="238" t="n"/>
    </row>
    <row r="16" ht="22" customHeight="1">
      <c r="A16" s="237" t="n"/>
      <c r="H16" s="238" t="n"/>
    </row>
    <row r="17" ht="22" customHeight="1">
      <c r="A17" s="239" t="n"/>
      <c r="B17" s="240" t="n"/>
      <c r="C17" s="240" t="n"/>
      <c r="D17" s="240" t="n"/>
      <c r="E17" s="240" t="n"/>
      <c r="F17" s="240" t="n"/>
      <c r="G17" s="240" t="n"/>
      <c r="H17" s="241" t="n"/>
    </row>
    <row r="18" ht="22" customHeight="1"/>
    <row r="19" ht="22" customHeight="1">
      <c r="A19" s="5" t="inlineStr">
        <is>
          <t>How to use the Daily Guide</t>
        </is>
      </c>
    </row>
    <row r="20" ht="22" customHeight="1">
      <c r="A20" s="23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235" t="n"/>
      <c r="C20" s="235" t="n"/>
      <c r="D20" s="235" t="n"/>
      <c r="E20" s="235" t="n"/>
      <c r="F20" s="235" t="n"/>
      <c r="G20" s="235" t="n"/>
      <c r="H20" s="236" t="n"/>
    </row>
    <row r="21" ht="22" customHeight="1">
      <c r="A21" s="237" t="n"/>
      <c r="H21" s="238" t="n"/>
    </row>
    <row r="22" ht="22" customHeight="1">
      <c r="A22" s="237" t="n"/>
      <c r="H22" s="238" t="n"/>
    </row>
    <row r="23" ht="22" customHeight="1">
      <c r="A23" s="237" t="n"/>
      <c r="H23" s="238" t="n"/>
    </row>
    <row r="24" ht="22" customHeight="1">
      <c r="A24" s="239" t="n"/>
      <c r="B24" s="240" t="n"/>
      <c r="C24" s="240" t="n"/>
      <c r="D24" s="240" t="n"/>
      <c r="E24" s="240" t="n"/>
      <c r="F24" s="240" t="n"/>
      <c r="G24" s="240" t="n"/>
      <c r="H24" s="241" t="n"/>
    </row>
    <row r="25" ht="22" customHeight="1"/>
    <row r="26" ht="22" customHeight="1">
      <c r="A26" s="5" t="inlineStr">
        <is>
          <t>Safety rules</t>
        </is>
      </c>
    </row>
    <row r="27" ht="22" customHeight="1">
      <c r="A27" s="23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235" t="n"/>
      <c r="C27" s="235" t="n"/>
      <c r="D27" s="235" t="n"/>
      <c r="E27" s="235" t="n"/>
      <c r="F27" s="235" t="n"/>
      <c r="G27" s="235" t="n"/>
      <c r="H27" s="236" t="n"/>
    </row>
    <row r="28" ht="22" customHeight="1">
      <c r="A28" s="237" t="n"/>
      <c r="H28" s="238" t="n"/>
    </row>
    <row r="29" ht="22" customHeight="1">
      <c r="A29" s="237" t="n"/>
      <c r="H29" s="238" t="n"/>
    </row>
    <row r="30" ht="22" customHeight="1">
      <c r="A30" s="237" t="n"/>
      <c r="H30" s="238" t="n"/>
    </row>
    <row r="31" ht="22" customHeight="1">
      <c r="A31" s="239" t="n"/>
      <c r="B31" s="240" t="n"/>
      <c r="C31" s="240" t="n"/>
      <c r="D31" s="240" t="n"/>
      <c r="E31" s="240" t="n"/>
      <c r="F31" s="240" t="n"/>
      <c r="G31" s="240" t="n"/>
      <c r="H31" s="241" t="n"/>
    </row>
    <row r="32" ht="22" customHeight="1"/>
    <row r="33" ht="22" customHeight="1">
      <c r="A33" s="5" t="inlineStr">
        <is>
          <t>Beta closure and launch</t>
        </is>
      </c>
    </row>
    <row r="34" ht="22" customHeight="1">
      <c r="A34" s="23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235" t="n"/>
      <c r="C34" s="235" t="n"/>
      <c r="D34" s="235" t="n"/>
      <c r="E34" s="235" t="n"/>
      <c r="F34" s="235" t="n"/>
      <c r="G34" s="235" t="n"/>
      <c r="H34" s="236" t="n"/>
    </row>
    <row r="35" ht="22" customHeight="1">
      <c r="A35" s="237" t="n"/>
      <c r="H35" s="238" t="n"/>
    </row>
    <row r="36" ht="22" customHeight="1">
      <c r="A36" s="237" t="n"/>
      <c r="H36" s="238" t="n"/>
    </row>
    <row r="37" ht="22" customHeight="1">
      <c r="A37" s="237" t="n"/>
      <c r="H37" s="238" t="n"/>
    </row>
    <row r="38" ht="22" customHeight="1">
      <c r="A38" s="239" t="n"/>
      <c r="B38" s="240" t="n"/>
      <c r="C38" s="240" t="n"/>
      <c r="D38" s="240" t="n"/>
      <c r="E38" s="240" t="n"/>
      <c r="F38" s="240" t="n"/>
      <c r="G38" s="240" t="n"/>
      <c r="H38" s="241" t="n"/>
    </row>
    <row r="39" ht="22" customHeight="1"/>
    <row r="40" ht="22" customHeight="1">
      <c r="A40" s="5" t="inlineStr">
        <is>
          <t>If something fails</t>
        </is>
      </c>
    </row>
    <row r="41" ht="22" customHeight="1">
      <c r="A41" s="23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235" t="n"/>
      <c r="C41" s="235" t="n"/>
      <c r="D41" s="235" t="n"/>
      <c r="E41" s="235" t="n"/>
      <c r="F41" s="235" t="n"/>
      <c r="G41" s="235" t="n"/>
      <c r="H41" s="236" t="n"/>
    </row>
    <row r="42" ht="22" customHeight="1">
      <c r="A42" s="237" t="n"/>
      <c r="H42" s="238" t="n"/>
    </row>
    <row r="43" ht="22" customHeight="1">
      <c r="A43" s="237" t="n"/>
      <c r="H43" s="238" t="n"/>
    </row>
    <row r="44" ht="22" customHeight="1">
      <c r="A44" s="237" t="n"/>
      <c r="H44" s="238" t="n"/>
    </row>
    <row r="45" ht="22" customHeight="1">
      <c r="A45" s="239" t="n"/>
      <c r="B45" s="240" t="n"/>
      <c r="C45" s="240" t="n"/>
      <c r="D45" s="240" t="n"/>
      <c r="E45" s="240" t="n"/>
      <c r="F45" s="240" t="n"/>
      <c r="G45" s="240" t="n"/>
      <c r="H45" s="241" t="n"/>
    </row>
    <row r="46" ht="22" customHeight="1"/>
    <row r="47" ht="22" customHeight="1">
      <c r="A47" s="5" t="inlineStr">
        <is>
          <t>Import the calendar</t>
        </is>
      </c>
    </row>
    <row r="48" ht="22" customHeight="1">
      <c r="A48" s="23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235" t="n"/>
      <c r="C48" s="235" t="n"/>
      <c r="D48" s="235" t="n"/>
      <c r="E48" s="235" t="n"/>
      <c r="F48" s="235" t="n"/>
      <c r="G48" s="235" t="n"/>
      <c r="H48" s="236" t="n"/>
    </row>
    <row r="49" ht="22" customHeight="1">
      <c r="A49" s="237" t="n"/>
      <c r="H49" s="238" t="n"/>
    </row>
    <row r="50" ht="22" customHeight="1">
      <c r="A50" s="237" t="n"/>
      <c r="H50" s="238" t="n"/>
    </row>
    <row r="51" ht="22" customHeight="1">
      <c r="A51" s="237" t="n"/>
      <c r="H51" s="238" t="n"/>
    </row>
    <row r="52" ht="22" customHeight="1">
      <c r="A52" s="239" t="n"/>
      <c r="B52" s="240" t="n"/>
      <c r="C52" s="240" t="n"/>
      <c r="D52" s="240" t="n"/>
      <c r="E52" s="240" t="n"/>
      <c r="F52" s="240" t="n"/>
      <c r="G52" s="240" t="n"/>
      <c r="H52" s="241" t="n"/>
    </row>
    <row r="54">
      <c r="A54" s="242" t="inlineStr">
        <is>
          <t>Updated 30 September: work starts 1 October. Use 'Do Now' first, then 'Plan from 1 Oct' as your daily sheet. Daily Guide rows after 6 Oct are marked Moved. Overflow checks are scheduled inside your daily caps; decisions D1-D8 accepted 30 Sep (AI providers: OpenRouter and OpenAI only).</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4" customWidth="1" min="1" max="1"/>
    <col width="28" customWidth="1" min="2" max="2"/>
    <col width="110" customWidth="1" min="3" max="3"/>
    <col width="26" customWidth="1" min="4" max="4"/>
    <col width="12" customWidth="1" min="5" max="5"/>
  </cols>
  <sheetData>
    <row r="1">
      <c r="A1" s="243" t="inlineStr">
        <is>
          <t>Do now — things you can do before the AI has prepared anything. About 1 hour in total, in any order, fitted around your day.</t>
        </is>
      </c>
    </row>
    <row r="2">
      <c r="A2" t="inlineStr">
        <is>
          <t>Never paste passwords, API keys or recovery codes. Never use the owner/admin account for tests. Stop if a screen differs from the steps and tell me exactly what you see.</t>
        </is>
      </c>
    </row>
    <row r="4">
      <c r="A4" s="244" t="inlineStr">
        <is>
          <t>#</t>
        </is>
      </c>
      <c r="B4" s="244" t="inlineStr">
        <is>
          <t>Task</t>
        </is>
      </c>
      <c r="C4" s="244" t="inlineStr">
        <is>
          <t>Steps</t>
        </is>
      </c>
      <c r="D4" s="244" t="inlineStr">
        <is>
          <t>Needs</t>
        </is>
      </c>
      <c r="E4" s="244" t="inlineStr">
        <is>
          <t>Sheet ref</t>
        </is>
      </c>
    </row>
    <row r="5">
      <c r="A5" s="245" t="inlineStr">
        <is>
          <t>1</t>
        </is>
      </c>
      <c r="B5" s="245" t="inlineStr">
        <is>
          <t>Decisions - DONE 30 Sep</t>
        </is>
      </c>
      <c r="C5" s="245" t="inlineStr">
        <is>
          <t>All defaults accepted; AI providers limited to OpenRouter and OpenAI (D5).</t>
        </is>
      </c>
      <c r="D5" s="245" t="inlineStr">
        <is>
          <t>Nothing to do</t>
        </is>
      </c>
      <c r="E5" s="245" t="inlineStr">
        <is>
          <t>Decisions</t>
        </is>
      </c>
    </row>
    <row r="6">
      <c r="A6" s="245" t="inlineStr">
        <is>
          <t>2</t>
        </is>
      </c>
      <c r="B6" s="245" t="inlineStr">
        <is>
          <t>O14 Support inbox test - DONE 30 Sep</t>
        </is>
      </c>
      <c r="C6" s="245" t="inlineStr">
        <is>
          <t>Both emails arrived. The reply showed as 'Morgan Bishop, yourownworld.admin@gmail.com' rather than support@ / founders@. Follow-up is task 6.</t>
        </is>
      </c>
      <c r="D6" s="245" t="inlineStr">
        <is>
          <t>Done</t>
        </is>
      </c>
      <c r="E6" s="245" t="inlineStr">
        <is>
          <t>O14</t>
        </is>
      </c>
    </row>
    <row r="7">
      <c r="A7" s="245" t="inlineStr">
        <is>
          <t>3</t>
        </is>
      </c>
      <c r="B7" s="245" t="inlineStr">
        <is>
          <t>O02 Leaked-password protection - DONE 30 Sep</t>
        </is>
      </c>
      <c r="C7" s="245" t="inlineStr">
        <is>
          <t>Not offered on your current Supabase plan, so it stays as a known Advisor warning. The AI will check your minimum password rules on 9 Oct instead. Do not upgrade the plan for this.</t>
        </is>
      </c>
      <c r="D7" s="245" t="inlineStr">
        <is>
          <t>Done</t>
        </is>
      </c>
      <c r="E7" s="245" t="inlineStr">
        <is>
          <t>O02</t>
        </is>
      </c>
    </row>
    <row r="8">
      <c r="A8" s="245" t="inlineStr">
        <is>
          <t>4</t>
        </is>
      </c>
      <c r="B8" s="245" t="inlineStr">
        <is>
          <t>O06 Windows machine - IN PROGRESS</t>
        </is>
      </c>
      <c r="C8" s="245" t="inlineStr">
        <is>
          <t>You said you will test. When ready tell me: real or cloud PC, the Windows version, that you have admin rights and can create a fresh Windows user. Needed by Sat 10 Oct. Do not install anything yet.</t>
        </is>
      </c>
      <c r="D8" s="245" t="inlineStr">
        <is>
          <t>A Windows PC or cloud PC</t>
        </is>
      </c>
      <c r="E8" s="245" t="inlineStr">
        <is>
          <t>O06</t>
        </is>
      </c>
    </row>
    <row r="9">
      <c r="A9" s="245" t="inlineStr">
        <is>
          <t>5</t>
        </is>
      </c>
      <c r="B9" s="245" t="inlineStr">
        <is>
          <t>O01 Fresh-account walkthrough (40 min)</t>
        </is>
      </c>
      <c r="C9" s="245" t="inlineStr">
        <is>
          <t>Use a private/incognito window and an email alias you control (for example yourname+yowfresh1@gmail.com). Never your owner/admin account.
1. Open www.yourownworld.co.uk and sign up with the alias and a throwaway password. Confirm the email if asked; a welcome email should arrive.
2. Expect a first-sign-in prompt offering 'Tour with a sample' and 'Start my own project'. Choose 'Tour with a sample'.
3. Expect exactly one project called 'Sample Project' with a manuscript, characters and other sections. Go back to the library and count sample projects. Report the number.
4. Dismiss the welcome tour and one section tour. Sign out.
5. In a different browser (or a fresh profile), sign in with the same alias. Expect the tours not to reappear.
6. Open AI settings without adding a key. Expect clear setup guidance and no error.
Report what you saw at each step; screenshot anything different.
Do not touch: your real projects, anyone else's account, billing.</t>
        </is>
      </c>
      <c r="D9" s="245" t="inlineStr">
        <is>
          <t>Alias email + second browser</t>
        </is>
      </c>
      <c r="E9" s="245" t="inlineStr">
        <is>
          <t>O01</t>
        </is>
      </c>
    </row>
    <row r="10">
      <c r="A10" s="245" t="inlineStr">
        <is>
          <t>6</t>
        </is>
      </c>
      <c r="B10" s="245" t="inlineStr">
        <is>
          <t>O16 Replies show the YOW address (20 min)</t>
        </is>
      </c>
      <c r="C10" s="245" t="inlineStr">
        <is>
          <t>Step 1 only for now: tell me how support@yourownworld.co.uk receives mail (for example Google Workspace, your domain registrar's forwarding, or Cloudflare email routing) and which inbox the test emails arrived in. I will then give exact 'Send mail as' steps for that setup. Decision D10: fix before launch (recommended) or accept as is.</t>
        </is>
      </c>
      <c r="D10" s="245" t="inlineStr">
        <is>
          <t>Gmail settings + domain mail setup</t>
        </is>
      </c>
      <c r="E10" s="245" t="inlineStr">
        <is>
          <t>O16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8" customWidth="1" min="3" max="3"/>
    <col width="55" customWidth="1" min="4" max="4"/>
    <col width="70" customWidth="1" min="5" max="5"/>
    <col width="55" customWidth="1" min="6" max="6"/>
    <col width="16" customWidth="1" min="7" max="7"/>
    <col width="18" customWidth="1" min="8" max="8"/>
    <col width="10" customWidth="1" min="9" max="9"/>
    <col width="8" customWidth="1" min="10" max="10"/>
    <col width="12" customWidth="1" min="11" max="11"/>
    <col width="40" customWidth="1" min="12" max="12"/>
    <col width="14" customWidth="1" min="13" max="13"/>
  </cols>
  <sheetData>
    <row r="1">
      <c r="A1" s="243" t="inlineStr">
        <is>
          <t>YOW launch plan from 1 October — every open roadmap item scheduled; owner overflow fits inside the day caps. Launch still Sun 1 Nov (quiet) / Mon 2 Nov (public).</t>
        </is>
      </c>
    </row>
    <row r="2">
      <c r="A2" t="inlineStr">
        <is>
          <t>AI work is uncapped and runs from the daily 07:15 handoff. Your time: weekday 10 min + evening cap, weekend 15 min + up to 3 h 45 min. Do not paste secrets. A failed hard gate moves the date. Status: Not started / In progress / Done / Blocked.</t>
        </is>
      </c>
    </row>
    <row r="3">
      <c r="O3" t="inlineStr">
        <is>
          <t>Tasks</t>
        </is>
      </c>
      <c r="P3">
        <f>COUNTA(A5:A37)</f>
        <v/>
      </c>
    </row>
    <row r="4">
      <c r="A4" s="244" t="inlineStr">
        <is>
          <t>Date</t>
        </is>
      </c>
      <c r="B4" s="244" t="inlineStr">
        <is>
          <t>Day</t>
        </is>
      </c>
      <c r="C4" s="244" t="inlineStr">
        <is>
          <t>Phase</t>
        </is>
      </c>
      <c r="D4" s="244" t="inlineStr">
        <is>
          <t>AI assignment (AI does this)</t>
        </is>
      </c>
      <c r="E4" s="244" t="inlineStr">
        <is>
          <t>Also close today (AI does this)</t>
        </is>
      </c>
      <c r="F4" s="244" t="inlineStr">
        <is>
          <t>Your task (guided, one step at a time)</t>
        </is>
      </c>
      <c r="G4" s="244" t="inlineStr">
        <is>
          <t>Your time cap</t>
        </is>
      </c>
      <c r="H4" s="244" t="inlineStr">
        <is>
          <t>Extra owner items today (Owner Overflow)</t>
        </is>
      </c>
      <c r="I4" s="244" t="inlineStr">
        <is>
          <t>Spare owner minutes</t>
        </is>
      </c>
      <c r="J4" s="244" t="inlineStr">
        <is>
          <t>Hard gate?</t>
        </is>
      </c>
      <c r="K4" s="244" t="inlineStr">
        <is>
          <t>Status</t>
        </is>
      </c>
      <c r="L4" s="244" t="inlineStr">
        <is>
          <t>Notes / evidence</t>
        </is>
      </c>
      <c r="M4" s="244" t="inlineStr">
        <is>
          <t>From original plan date</t>
        </is>
      </c>
      <c r="O4" t="inlineStr">
        <is>
          <t>Done</t>
        </is>
      </c>
      <c r="P4">
        <f>COUNTIF(K5:K37,"Done")</f>
        <v/>
      </c>
    </row>
    <row r="5">
      <c r="A5" s="246" t="n">
        <v>46296</v>
      </c>
      <c r="B5" s="245" t="inlineStr">
        <is>
          <t>Thu</t>
        </is>
      </c>
      <c r="C5" s="245" t="inlineStr">
        <is>
          <t>Cloud &amp; security</t>
        </is>
      </c>
      <c r="D5" s="245" t="inlineStr">
        <is>
          <t>Finish the cloud-expiry/inactive-account lifecycle implementation and tests: notices, Export All, grace, archive/delete, and cloud-write shutdown.</t>
        </is>
      </c>
      <c r="E5" s="24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245" t="inlineStr">
        <is>
          <t>Review the customer-visible sequence and approve the exact wording.</t>
        </is>
      </c>
      <c r="G5" s="245" t="inlineStr">
        <is>
          <t>10 min + 75 min</t>
        </is>
      </c>
      <c r="H5" s="245" t="inlineStr">
        <is>
          <t>—</t>
        </is>
      </c>
      <c r="I5" s="245" t="n">
        <v>0</v>
      </c>
      <c r="J5" s="245" t="inlineStr">
        <is>
          <t>Yes</t>
        </is>
      </c>
      <c r="K5" s="245" t="inlineStr">
        <is>
          <t>Not started</t>
        </is>
      </c>
      <c r="L5" s="245" t="inlineStr"/>
      <c r="M5" s="245" t="inlineStr">
        <is>
          <t>2026-10-07</t>
        </is>
      </c>
      <c r="O5" t="inlineStr">
        <is>
          <t>Blocked</t>
        </is>
      </c>
      <c r="P5">
        <f>COUNTIF(K5:K37,"Blocked")</f>
        <v/>
      </c>
    </row>
    <row r="6">
      <c r="A6" s="246" t="n">
        <v>46297</v>
      </c>
      <c r="B6" s="245" t="inlineStr">
        <is>
          <t>Fri</t>
        </is>
      </c>
      <c r="C6" s="245" t="inlineStr">
        <is>
          <t>Cloud &amp; security</t>
        </is>
      </c>
      <c r="D6" s="245" t="inlineStr">
        <is>
          <t>Run complete ZIP/DOCX/PDF/World Bible ownership and privacy checks, including expiry access and readable output inspection.</t>
        </is>
      </c>
      <c r="E6" s="24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245" t="inlineStr">
        <is>
          <t>Open the generated files and confirm the expected content is present and private data is absent where promised.</t>
        </is>
      </c>
      <c r="G6" s="245" t="inlineStr">
        <is>
          <t>10 min + 90 min</t>
        </is>
      </c>
      <c r="H6" s="245" t="inlineStr">
        <is>
          <t>—</t>
        </is>
      </c>
      <c r="I6" s="245" t="n">
        <v>0</v>
      </c>
      <c r="J6" s="245" t="inlineStr">
        <is>
          <t>Yes</t>
        </is>
      </c>
      <c r="K6" s="245" t="inlineStr">
        <is>
          <t>Not started</t>
        </is>
      </c>
      <c r="L6" s="245" t="inlineStr"/>
      <c r="M6" s="245" t="inlineStr">
        <is>
          <t>2026-10-08</t>
        </is>
      </c>
      <c r="O6" t="inlineStr">
        <is>
          <t>Progress</t>
        </is>
      </c>
      <c r="P6" s="247">
        <f>IFERROR(P4/P3,0)</f>
        <v/>
      </c>
    </row>
    <row r="7">
      <c r="A7" s="246" t="n">
        <v>46298</v>
      </c>
      <c r="B7" s="245" t="inlineStr">
        <is>
          <t>Sat</t>
        </is>
      </c>
      <c r="C7" s="245" t="inlineStr">
        <is>
          <t>Cloud &amp; security</t>
        </is>
      </c>
      <c r="D7" s="245" t="inlineStr">
        <is>
          <t>Retrieve or document the missing production function definitions, close reproducible database-build gaps, and rerun database checks.</t>
        </is>
      </c>
      <c r="E7" s="24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F7" s="245" t="inlineStr">
        <is>
          <t>Provide guided production access only if needed; review the database continuity result.</t>
        </is>
      </c>
      <c r="G7" s="245" t="inlineStr">
        <is>
          <t>15 min + up to 3 h 45 min</t>
        </is>
      </c>
      <c r="H7" s="245" t="inlineStr">
        <is>
          <t>O01, O03, O16</t>
        </is>
      </c>
      <c r="I7" s="245" t="n">
        <v>95</v>
      </c>
      <c r="J7" s="245" t="inlineStr">
        <is>
          <t>Yes</t>
        </is>
      </c>
      <c r="K7" s="245" t="inlineStr">
        <is>
          <t>Not started</t>
        </is>
      </c>
      <c r="L7" s="245" t="inlineStr"/>
      <c r="M7" s="245" t="inlineStr">
        <is>
          <t>2026-10-09</t>
        </is>
      </c>
    </row>
    <row r="8">
      <c r="A8" s="246" t="n">
        <v>46299</v>
      </c>
      <c r="B8" s="245" t="inlineStr">
        <is>
          <t>Sun</t>
        </is>
      </c>
      <c r="C8" s="245" t="inlineStr">
        <is>
          <t>Cloud &amp; security</t>
        </is>
      </c>
      <c r="D8" s="245" t="inlineStr">
        <is>
          <t>Run the entire data-safety/auth/export matrix and fix failures in priority order.</t>
        </is>
      </c>
      <c r="E8" s="24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245" t="inlineStr">
        <is>
          <t>Perform the remaining real-account checks in two focused blocks; stop at four hours.</t>
        </is>
      </c>
      <c r="G8" s="245" t="inlineStr">
        <is>
          <t>15 min + up to 3 h 45 min</t>
        </is>
      </c>
      <c r="H8" s="245" t="inlineStr">
        <is>
          <t>—</t>
        </is>
      </c>
      <c r="I8" s="245" t="n">
        <v>0</v>
      </c>
      <c r="J8" s="245" t="inlineStr">
        <is>
          <t>Yes</t>
        </is>
      </c>
      <c r="K8" s="245" t="inlineStr">
        <is>
          <t>Not started</t>
        </is>
      </c>
      <c r="L8" s="245" t="inlineStr"/>
      <c r="M8" s="245" t="inlineStr">
        <is>
          <t>2026-10-10</t>
        </is>
      </c>
    </row>
    <row r="9">
      <c r="A9" s="246" t="n">
        <v>46300</v>
      </c>
      <c r="B9" s="245" t="inlineStr">
        <is>
          <t>Mon</t>
        </is>
      </c>
      <c r="C9" s="245" t="inlineStr">
        <is>
          <t>Cloud &amp; security</t>
        </is>
      </c>
      <c r="D9" s="245" t="inlineStr">
        <is>
          <t>Use the day as the hard-gate repair buffer, rerun the whole matrix, and produce a signed-off evidence summary.</t>
        </is>
      </c>
      <c r="E9" s="245" t="inlineStr">
        <is>
          <t>1. Data safety gate and Export ownership gate: write each gate's evidence summary; move a gate to Passed only with evidence, otherwise list the exact remaining blocker</t>
        </is>
      </c>
      <c r="F9" s="245" t="inlineStr">
        <is>
          <t>Review the summary. Mark the gate Done only if no data-loss/auth/export blocker remains.</t>
        </is>
      </c>
      <c r="G9" s="245" t="inlineStr">
        <is>
          <t>10 min + 110 min</t>
        </is>
      </c>
      <c r="H9" s="245" t="inlineStr">
        <is>
          <t>O04, O05</t>
        </is>
      </c>
      <c r="I9" s="245" t="n">
        <v>20</v>
      </c>
      <c r="J9" s="245" t="inlineStr">
        <is>
          <t>Yes</t>
        </is>
      </c>
      <c r="K9" s="245" t="inlineStr">
        <is>
          <t>Not started</t>
        </is>
      </c>
      <c r="L9" s="245" t="inlineStr"/>
      <c r="M9" s="245" t="inlineStr">
        <is>
          <t>2026-10-11</t>
        </is>
      </c>
    </row>
    <row r="10">
      <c r="A10" s="246" t="n">
        <v>46301</v>
      </c>
      <c r="B10" s="245" t="inlineStr">
        <is>
          <t>Tue</t>
        </is>
      </c>
      <c r="C10" s="245" t="inlineStr">
        <is>
          <t>Desktop</t>
        </is>
      </c>
      <c r="D10" s="245" t="inlineStr">
        <is>
          <t>Implement/finish the full signed-in Tauri project workspace and run desktop unit/Rust/build checks.</t>
        </is>
      </c>
      <c r="E10" s="245" t="inlineStr">
        <is>
          <t>1. Desktop entitlement matrix: Free/Monthly/Beta desktop behaviour matches approved matrix and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Desktop account-only surface replaced by full workspace: re-verify all four plans land in the workspace and device list works</t>
        </is>
      </c>
      <c r="F10" s="245" t="inlineStr">
        <is>
          <t>Open the Mac test build and verify login, library, project navigation, and writing.</t>
        </is>
      </c>
      <c r="G10" s="245" t="inlineStr">
        <is>
          <t>10 min + 100 min</t>
        </is>
      </c>
      <c r="H10" s="245" t="inlineStr">
        <is>
          <t>—</t>
        </is>
      </c>
      <c r="I10" s="245" t="n">
        <v>0</v>
      </c>
      <c r="J10" s="245" t="inlineStr">
        <is>
          <t>Yes</t>
        </is>
      </c>
      <c r="K10" s="245" t="inlineStr">
        <is>
          <t>Not started</t>
        </is>
      </c>
      <c r="L10" s="245" t="inlineStr"/>
      <c r="M10" s="245" t="inlineStr">
        <is>
          <t>2026-10-12</t>
        </is>
      </c>
    </row>
    <row r="11">
      <c r="A11" s="246" t="n">
        <v>46302</v>
      </c>
      <c r="B11" s="245" t="inlineStr">
        <is>
          <t>Wed</t>
        </is>
      </c>
      <c r="C11" s="245" t="inlineStr">
        <is>
          <t>Desktop</t>
        </is>
      </c>
      <c r="D11" s="245" t="inlineStr">
        <is>
          <t>Stress the desktop vault: write-behind durability, quit/force-quit, snapshot, restore, relocation, integrity, and disk-error handling.</t>
        </is>
      </c>
      <c r="E11" s="24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is>
      </c>
      <c r="F11" s="245" t="inlineStr">
        <is>
          <t>Run the guided vault persistence and restore test with an isolated test vault.</t>
        </is>
      </c>
      <c r="G11" s="245" t="inlineStr">
        <is>
          <t>10 min + 100 min</t>
        </is>
      </c>
      <c r="H11" s="245" t="inlineStr">
        <is>
          <t>—</t>
        </is>
      </c>
      <c r="I11" s="245" t="n">
        <v>0</v>
      </c>
      <c r="J11" s="245" t="inlineStr">
        <is>
          <t>Yes</t>
        </is>
      </c>
      <c r="K11" s="245" t="inlineStr">
        <is>
          <t>Not started</t>
        </is>
      </c>
      <c r="L11" s="245" t="inlineStr"/>
      <c r="M11" s="245" t="inlineStr">
        <is>
          <t>2026-10-13</t>
        </is>
      </c>
    </row>
    <row r="12">
      <c r="A12" s="246" t="n">
        <v>46303</v>
      </c>
      <c r="B12" s="245" t="inlineStr">
        <is>
          <t>Thu</t>
        </is>
      </c>
      <c r="C12" s="245" t="inlineStr">
        <is>
          <t>Desktop</t>
        </is>
      </c>
      <c r="D12" s="245" t="inlineStr">
        <is>
          <t>Verify and repair native ZIP/DOCX/PDF/PNG save dialogs and file contents in packaged desktop builds.</t>
        </is>
      </c>
      <c r="E12" s="245" t="inlineStr">
        <is>
          <t>1. Map PNG export and rendered exports from the packaged desktop build (alongside ZIP/DOCX/PDF save dialogs)</t>
        </is>
      </c>
      <c r="F12" s="245" t="inlineStr">
        <is>
          <t>Save and open each format from the packaged Mac app.</t>
        </is>
      </c>
      <c r="G12" s="245" t="inlineStr">
        <is>
          <t>10 min + 90 min</t>
        </is>
      </c>
      <c r="H12" s="245" t="inlineStr">
        <is>
          <t>—</t>
        </is>
      </c>
      <c r="I12" s="245" t="n">
        <v>0</v>
      </c>
      <c r="J12" s="245" t="inlineStr">
        <is>
          <t>Yes</t>
        </is>
      </c>
      <c r="K12" s="245" t="inlineStr">
        <is>
          <t>Not started</t>
        </is>
      </c>
      <c r="L12" s="245" t="inlineStr"/>
      <c r="M12" s="245" t="inlineStr">
        <is>
          <t>2026-10-14</t>
        </is>
      </c>
    </row>
    <row r="13">
      <c r="A13" s="246" t="n">
        <v>46304</v>
      </c>
      <c r="B13" s="245" t="inlineStr">
        <is>
          <t>Fri</t>
        </is>
      </c>
      <c r="C13" s="245" t="inlineStr">
        <is>
          <t>Desktop</t>
        </is>
      </c>
      <c r="D13" s="245" t="inlineStr">
        <is>
          <t>Finish Local Mode/lapse/renewal merge logic, cold-start retry, conflict surfacing, and no-cloud-write verification.</t>
        </is>
      </c>
      <c r="E13" s="245" t="inlineStr">
        <is>
          <t>1. Cloud sync fully removed on lapse; automatic resume on renewal; Storage tab shows only 'Cloud sync unavailable' + renew CTA
2. Renewal checkout (GBP 6 hosting) path from desktop: web cloud-required behaviour, entitlement metadata</t>
        </is>
      </c>
      <c r="F13" s="245" t="inlineStr">
        <is>
          <t>Run the guided lapse → web edit → renewal → desktop merge scenario.</t>
        </is>
      </c>
      <c r="G13" s="245" t="inlineStr">
        <is>
          <t>10 min + 100 min</t>
        </is>
      </c>
      <c r="H13" s="245" t="inlineStr">
        <is>
          <t>—</t>
        </is>
      </c>
      <c r="I13" s="245" t="n">
        <v>0</v>
      </c>
      <c r="J13" s="245" t="inlineStr">
        <is>
          <t>Yes</t>
        </is>
      </c>
      <c r="K13" s="245" t="inlineStr">
        <is>
          <t>Not started</t>
        </is>
      </c>
      <c r="L13" s="245" t="inlineStr"/>
      <c r="M13" s="245" t="inlineStr">
        <is>
          <t>2026-10-15</t>
        </is>
      </c>
    </row>
    <row r="14">
      <c r="A14" s="246" t="n">
        <v>46305</v>
      </c>
      <c r="B14" s="245" t="inlineStr">
        <is>
          <t>Sat</t>
        </is>
      </c>
      <c r="C14" s="245" t="inlineStr">
        <is>
          <t>Desktop</t>
        </is>
      </c>
      <c r="D14" s="245" t="inlineStr">
        <is>
          <t>Finalise updater manifests, download entitlement gating, installer URLs, hashes, provenance, and unsigned-app instructions.</t>
        </is>
      </c>
      <c r="E14" s="24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4" s="245" t="inlineStr">
        <is>
          <t>Review the download page and Mac instructions as a customer.</t>
        </is>
      </c>
      <c r="G14" s="245" t="inlineStr">
        <is>
          <t>15 min + up to 3 h 45 min</t>
        </is>
      </c>
      <c r="H14" s="245" t="inlineStr">
        <is>
          <t>O06, O08, O09</t>
        </is>
      </c>
      <c r="I14" s="245" t="n">
        <v>25</v>
      </c>
      <c r="J14" s="245" t="inlineStr">
        <is>
          <t>Yes</t>
        </is>
      </c>
      <c r="K14" s="245" t="inlineStr">
        <is>
          <t>Not started</t>
        </is>
      </c>
      <c r="L14" s="245" t="inlineStr"/>
      <c r="M14" s="245" t="inlineStr">
        <is>
          <t>2026-10-16</t>
        </is>
      </c>
    </row>
    <row r="15">
      <c r="A15" s="246" t="n">
        <v>46306</v>
      </c>
      <c r="B15" s="245" t="inlineStr">
        <is>
          <t>Sun</t>
        </is>
      </c>
      <c r="C15" s="245" t="inlineStr">
        <is>
          <t>Desktop</t>
        </is>
      </c>
      <c r="D15" s="245" t="inlineStr">
        <is>
          <t>Produce and inspect the final Mac candidate; drive clean-machine install, workspace, export, restore, updater, and uninstall acceptance.</t>
        </is>
      </c>
      <c r="E15" s="245" t="inlineStr">
        <is>
          <t>1. Clean-machine Mac: Gatekeeper bypass steps as a customer, install, update from previous release, uninstall leaves vault intact</t>
        </is>
      </c>
      <c r="F15" s="245" t="inlineStr">
        <is>
          <t>Complete the clean/test Mac checklist in two blocks.</t>
        </is>
      </c>
      <c r="G15" s="245" t="inlineStr">
        <is>
          <t>15 min + up to 3 h 45 min</t>
        </is>
      </c>
      <c r="H15" s="245" t="inlineStr">
        <is>
          <t>—</t>
        </is>
      </c>
      <c r="I15" s="245" t="n">
        <v>0</v>
      </c>
      <c r="J15" s="245" t="inlineStr">
        <is>
          <t>Yes</t>
        </is>
      </c>
      <c r="K15" s="245" t="inlineStr">
        <is>
          <t>Not started</t>
        </is>
      </c>
      <c r="L15" s="245" t="inlineStr"/>
      <c r="M15" s="245" t="inlineStr">
        <is>
          <t>2026-10-17</t>
        </is>
      </c>
    </row>
    <row r="16">
      <c r="A16" s="246" t="n">
        <v>46307</v>
      </c>
      <c r="B16" s="245" t="inlineStr">
        <is>
          <t>Mon</t>
        </is>
      </c>
      <c r="C16" s="245" t="inlineStr">
        <is>
          <t>Product acceptance</t>
        </is>
      </c>
      <c r="D16" s="245" t="inlineStr">
        <is>
          <t>Run and repair complete Novella and Short Story workflow, defaults, persistence, and export acceptance.</t>
        </is>
      </c>
      <c r="E16" s="24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6" s="245" t="inlineStr">
        <is>
          <t>Perform the two guided create → write → export journeys.</t>
        </is>
      </c>
      <c r="G16" s="245" t="inlineStr">
        <is>
          <t>10 min + 100 min</t>
        </is>
      </c>
      <c r="H16" s="245" t="inlineStr">
        <is>
          <t>—</t>
        </is>
      </c>
      <c r="I16" s="245" t="n">
        <v>0</v>
      </c>
      <c r="J16" s="245" t="inlineStr">
        <is>
          <t>Yes</t>
        </is>
      </c>
      <c r="K16" s="245" t="inlineStr">
        <is>
          <t>Not started</t>
        </is>
      </c>
      <c r="L16" s="245" t="inlineStr"/>
      <c r="M16" s="245" t="inlineStr">
        <is>
          <t>2026-10-19</t>
        </is>
      </c>
    </row>
    <row r="17">
      <c r="A17" s="246" t="n">
        <v>46308</v>
      </c>
      <c r="B17" s="245" t="inlineStr">
        <is>
          <t>Tue</t>
        </is>
      </c>
      <c r="C17" s="245" t="inlineStr">
        <is>
          <t>Product acceptance</t>
        </is>
      </c>
      <c r="D17" s="245" t="inlineStr">
        <is>
          <t>Run and repair complete D&amp;D and TTRPG prep/recap, Character Builder, map/default, AI-context, and export acceptance.</t>
        </is>
      </c>
      <c r="E17" s="245" t="inlineStr">
        <is>
          <t>1. D&amp;D/TTRPG project-type-aware AI behaviour (DM-side vs GM-side framing): prepare the guided checks; owner runs them with their own AI key on 19 Oct
2. Session prep/recap persistence, default-section visibility and export for both campaign types</t>
        </is>
      </c>
      <c r="F17" s="245" t="inlineStr">
        <is>
          <t>Perform the two guided campaign journeys using disposable campaigns.</t>
        </is>
      </c>
      <c r="G17" s="245" t="inlineStr">
        <is>
          <t>10 min + 100 min</t>
        </is>
      </c>
      <c r="H17" s="245" t="inlineStr">
        <is>
          <t>—</t>
        </is>
      </c>
      <c r="I17" s="245" t="n">
        <v>0</v>
      </c>
      <c r="J17" s="245" t="inlineStr">
        <is>
          <t>Yes</t>
        </is>
      </c>
      <c r="K17" s="245" t="inlineStr">
        <is>
          <t>Not started</t>
        </is>
      </c>
      <c r="L17" s="245" t="inlineStr"/>
      <c r="M17" s="245" t="inlineStr">
        <is>
          <t>2026-10-20</t>
        </is>
      </c>
    </row>
    <row r="18">
      <c r="A18" s="246" t="n">
        <v>46309</v>
      </c>
      <c r="B18" s="245" t="inlineStr">
        <is>
          <t>Wed</t>
        </is>
      </c>
      <c r="C18" s="245" t="inlineStr">
        <is>
          <t>Product acceptance</t>
        </is>
      </c>
      <c r="D18" s="245" t="inlineStr">
        <is>
          <t>Run and repair Novel and Comic live-cloud, large-project, and complete export acceptance.</t>
        </is>
      </c>
      <c r="E18" s="24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8" s="245" t="inlineStr">
        <is>
          <t>Perform the guided Novel and Comic journeys.</t>
        </is>
      </c>
      <c r="G18" s="245" t="inlineStr">
        <is>
          <t>10 min + 100 min</t>
        </is>
      </c>
      <c r="H18" s="245" t="inlineStr">
        <is>
          <t>—</t>
        </is>
      </c>
      <c r="I18" s="245" t="n">
        <v>0</v>
      </c>
      <c r="J18" s="245" t="inlineStr">
        <is>
          <t>Yes</t>
        </is>
      </c>
      <c r="K18" s="245" t="inlineStr">
        <is>
          <t>Not started</t>
        </is>
      </c>
      <c r="L18" s="245" t="inlineStr"/>
      <c r="M18" s="245" t="inlineStr">
        <is>
          <t>2026-10-21</t>
        </is>
      </c>
    </row>
    <row r="19">
      <c r="A19" s="246" t="n">
        <v>46310</v>
      </c>
      <c r="B19" s="245" t="inlineStr">
        <is>
          <t>Thu</t>
        </is>
      </c>
      <c r="C19" s="245" t="inlineStr">
        <is>
          <t>Product acceptance</t>
        </is>
      </c>
      <c r="D19" s="245" t="inlineStr">
        <is>
          <t>Run the full Map Builder owner checklist and repair interaction, layer, persistence, responsive, and export defects.</t>
        </is>
      </c>
      <c r="E19" s="245" t="inlineStr">
        <is>
          <t>1. Reliable map builder acceptance: persistence, grid overlay, JSON import/export, restore from ZIP, high-res PNG, undo/redo, all four map types</t>
        </is>
      </c>
      <c r="F19" s="245" t="inlineStr">
        <is>
          <t>Complete the guided map workflow and inspect its exports.</t>
        </is>
      </c>
      <c r="G19" s="245" t="inlineStr">
        <is>
          <t>10 min + 100 min</t>
        </is>
      </c>
      <c r="H19" s="245" t="inlineStr">
        <is>
          <t>—</t>
        </is>
      </c>
      <c r="I19" s="245" t="n">
        <v>0</v>
      </c>
      <c r="J19" s="245" t="inlineStr">
        <is>
          <t>Yes</t>
        </is>
      </c>
      <c r="K19" s="245" t="inlineStr">
        <is>
          <t>Not started</t>
        </is>
      </c>
      <c r="L19" s="245" t="inlineStr"/>
      <c r="M19" s="245" t="inlineStr">
        <is>
          <t>2026-10-22</t>
        </is>
      </c>
    </row>
    <row r="20">
      <c r="A20" s="246" t="n">
        <v>46311</v>
      </c>
      <c r="B20" s="245" t="inlineStr">
        <is>
          <t>Fri</t>
        </is>
      </c>
      <c r="C20" s="245" t="inlineStr">
        <is>
          <t>Product acceptance</t>
        </is>
      </c>
      <c r="D20" s="245" t="inlineStr">
        <is>
          <t>Consolidate remaining Characters, Locations, Lore, Timeline/History, Family/Factions, Series, Schedule, Focused Writing, and AI Import checks.</t>
        </is>
      </c>
      <c r="E20" s="24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20" s="245" t="inlineStr">
        <is>
          <t>Work through the short owner verification packet; flag only reproducible failures.</t>
        </is>
      </c>
      <c r="G20" s="245" t="inlineStr">
        <is>
          <t>10 min + 100 min</t>
        </is>
      </c>
      <c r="H20" s="245" t="inlineStr">
        <is>
          <t>—</t>
        </is>
      </c>
      <c r="I20" s="245" t="n">
        <v>0</v>
      </c>
      <c r="J20" s="245" t="inlineStr">
        <is>
          <t>Yes</t>
        </is>
      </c>
      <c r="K20" s="245" t="inlineStr">
        <is>
          <t>Not started</t>
        </is>
      </c>
      <c r="L20" s="245" t="inlineStr"/>
      <c r="M20" s="245" t="inlineStr">
        <is>
          <t>2026-10-23</t>
        </is>
      </c>
    </row>
    <row r="21">
      <c r="A21" s="246" t="n">
        <v>46312</v>
      </c>
      <c r="B21" s="245" t="inlineStr">
        <is>
          <t>Sat</t>
        </is>
      </c>
      <c r="C21" s="245" t="inlineStr">
        <is>
          <t>Desktop</t>
        </is>
      </c>
      <c r="D21" s="245" t="inlineStr">
        <is>
          <t>Produce the Windows candidate in CI and drive Windows clean-machine/WebView2/install/export/updater/uninstall acceptance; close the Desktop Gate.</t>
        </is>
      </c>
      <c r="E21" s="245" t="inlineStr">
        <is>
          <t>1. Windows: SmartScreen bypass steps, WebView2 install, Explorer reveal, updater, uninstall; close Desktop Gate and the desktop row of the Scope gate</t>
        </is>
      </c>
      <c r="F21" s="245" t="inlineStr">
        <is>
          <t>Complete or coordinate the Windows checklist, then review the combined desktop evidence.</t>
        </is>
      </c>
      <c r="G21" s="245" t="inlineStr">
        <is>
          <t>15 min + up to 3 h 45 min</t>
        </is>
      </c>
      <c r="H21" s="245" t="inlineStr">
        <is>
          <t>—</t>
        </is>
      </c>
      <c r="I21" s="245" t="n">
        <v>0</v>
      </c>
      <c r="J21" s="245" t="inlineStr">
        <is>
          <t>Yes</t>
        </is>
      </c>
      <c r="K21" s="245" t="inlineStr">
        <is>
          <t>Not started</t>
        </is>
      </c>
      <c r="L21" s="245" t="inlineStr"/>
      <c r="M21" s="245" t="inlineStr">
        <is>
          <t>2026-10-18</t>
        </is>
      </c>
    </row>
    <row r="22">
      <c r="A22" s="246" t="n">
        <v>46313</v>
      </c>
      <c r="B22" s="245" t="inlineStr">
        <is>
          <t>Sun</t>
        </is>
      </c>
      <c r="C22" s="245" t="inlineStr">
        <is>
          <t>Product acceptance</t>
        </is>
      </c>
      <c r="D22" s="245" t="inlineStr">
        <is>
          <t>Run realistic large-project performance plus 375/768/desktop, keyboard, focus, contrast, real-iPhone, and theme acceptance; fix blockers.</t>
        </is>
      </c>
      <c r="E22" s="24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2" s="245" t="inlineStr">
        <is>
          <t>Complete device/accessibility tests in two focused blocks. (includes O10: Firefox, Safari, VoiceOver.)</t>
        </is>
      </c>
      <c r="G22" s="245" t="inlineStr">
        <is>
          <t>15 min + up to 3 h 45 min</t>
        </is>
      </c>
      <c r="H22" s="245" t="inlineStr">
        <is>
          <t>—</t>
        </is>
      </c>
      <c r="I22" s="245" t="n">
        <v>0</v>
      </c>
      <c r="J22" s="245" t="inlineStr">
        <is>
          <t>Yes</t>
        </is>
      </c>
      <c r="K22" s="245" t="inlineStr">
        <is>
          <t>Not started</t>
        </is>
      </c>
      <c r="L22" s="245" t="inlineStr"/>
      <c r="M22" s="245" t="inlineStr">
        <is>
          <t>2026-10-24</t>
        </is>
      </c>
    </row>
    <row r="23">
      <c r="A23" s="246" t="n">
        <v>46314</v>
      </c>
      <c r="B23" s="245" t="inlineStr">
        <is>
          <t>Mon</t>
        </is>
      </c>
      <c r="C23" s="245" t="inlineStr">
        <is>
          <t>Product acceptance</t>
        </is>
      </c>
      <c r="D23" s="245" t="inlineStr">
        <is>
          <t>Test the two advertised AI providers, OpenRouter and OpenAI, with the owner's own keys: context grounding, errors/retry, secret isolation. Label all other providers 'not tested' in the app.</t>
        </is>
      </c>
      <c r="E23" s="24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3" s="245" t="inlineStr">
        <is>
          <t>Supply OpenRouter and OpenAI access without sharing secrets and run the guided provider checks (includes O07 and the D&amp;D/TTRPG AI framing checks).</t>
        </is>
      </c>
      <c r="G23" s="245" t="inlineStr">
        <is>
          <t>10 min + 100 min</t>
        </is>
      </c>
      <c r="H23" s="245" t="inlineStr">
        <is>
          <t>—</t>
        </is>
      </c>
      <c r="I23" s="245" t="n">
        <v>0</v>
      </c>
      <c r="J23" s="245" t="inlineStr">
        <is>
          <t>Yes</t>
        </is>
      </c>
      <c r="K23" s="245" t="inlineStr">
        <is>
          <t>Not started</t>
        </is>
      </c>
      <c r="L23" s="245" t="inlineStr"/>
      <c r="M23" s="245" t="inlineStr">
        <is>
          <t>2026-10-25</t>
        </is>
      </c>
    </row>
    <row r="24">
      <c r="A24" s="246" t="n">
        <v>46315</v>
      </c>
      <c r="B24" s="245" t="inlineStr">
        <is>
          <t>Tue</t>
        </is>
      </c>
      <c r="C24" s="245" t="inlineStr">
        <is>
          <t>Product acceptance</t>
        </is>
      </c>
      <c r="D24" s="245" t="inlineStr">
        <is>
          <t>Test AI chat persistence and export, then rerun all six project-type exports.</t>
        </is>
      </c>
      <c r="E24" s="24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4" s="245" t="inlineStr">
        <is>
          <t>Complete the Product Gate review.</t>
        </is>
      </c>
      <c r="G24" s="245" t="inlineStr">
        <is>
          <t>10 min + 100 min</t>
        </is>
      </c>
      <c r="H24" s="245" t="inlineStr">
        <is>
          <t>—</t>
        </is>
      </c>
      <c r="I24" s="245" t="n">
        <v>0</v>
      </c>
      <c r="J24" s="245" t="inlineStr">
        <is>
          <t>Yes</t>
        </is>
      </c>
      <c r="K24" s="245" t="inlineStr">
        <is>
          <t>Not started</t>
        </is>
      </c>
      <c r="L24" s="245" t="inlineStr"/>
      <c r="M24" s="245" t="inlineStr">
        <is>
          <t>2026-10-25</t>
        </is>
      </c>
    </row>
    <row r="25">
      <c r="A25" s="246" t="n">
        <v>46316</v>
      </c>
      <c r="B25" s="245" t="inlineStr">
        <is>
          <t>Wed</t>
        </is>
      </c>
      <c r="C25" s="245" t="inlineStr">
        <is>
          <t>Payments &amp; release</t>
        </is>
      </c>
      <c r="D25" s="245" t="inlineStr">
        <is>
          <t>Reconcile Pricing, FAQ, Terms, Privacy, cancellation, storage, Local Mode, expiry, Founder, AI, export, SEO, and marketing promises.</t>
        </is>
      </c>
      <c r="E25" s="24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5" s="245" t="inlineStr">
        <is>
          <t>Read the plain-English change packet and approve or correct the final customer promises.</t>
        </is>
      </c>
      <c r="G25" s="245" t="inlineStr">
        <is>
          <t>10 min + 100 min</t>
        </is>
      </c>
      <c r="H25" s="245" t="inlineStr">
        <is>
          <t>—</t>
        </is>
      </c>
      <c r="I25" s="245" t="n">
        <v>0</v>
      </c>
      <c r="J25" s="245" t="inlineStr">
        <is>
          <t>Yes</t>
        </is>
      </c>
      <c r="K25" s="245" t="inlineStr">
        <is>
          <t>Not started</t>
        </is>
      </c>
      <c r="L25" s="245" t="inlineStr"/>
      <c r="M25" s="245" t="inlineStr">
        <is>
          <t>2026-10-26</t>
        </is>
      </c>
    </row>
    <row r="26">
      <c r="A26" s="246" t="n">
        <v>46317</v>
      </c>
      <c r="B26" s="245" t="inlineStr">
        <is>
          <t>Thu</t>
        </is>
      </c>
      <c r="C26" s="245" t="inlineStr">
        <is>
          <t>Payments &amp; release</t>
        </is>
      </c>
      <c r="D26" s="245" t="inlineStr">
        <is>
          <t>Audit Stripe configuration, webhook idempotency, entitlement fulfilment, refunds/disputes, Founder allocation, and the test-mode runbook.</t>
        </is>
      </c>
      <c r="E26" s="245" t="inlineStr">
        <is>
          <t>1. Durable Stripe event ledger: replay every supported event at least 3 times; entitlements, dates, Founder counts, emails change exactly once
2. Price/quota matrix (GBP 10 / 99 / 299 / 6) matches Stripe test Price objects and Checkout line items; repo search for stale prices
3. Remove/migrate the temporary paid-interest 'coming soon' flow and its automatic Beta entitlement; real checkout CTAs behind a launch switch
4. Founder concurrency: simultaneous checkouts never exceed the approved cap
5. Prepare the exact Vercel test-mode secrets swap and return-to-live checklist (names only, never values)</t>
        </is>
      </c>
      <c r="F26" s="245" t="inlineStr">
        <is>
          <t>Open Stripe/Supabase only when guided and confirm the displayed test configuration.</t>
        </is>
      </c>
      <c r="G26" s="245" t="inlineStr">
        <is>
          <t>10 min + 90 min</t>
        </is>
      </c>
      <c r="H26" s="245" t="inlineStr">
        <is>
          <t>—</t>
        </is>
      </c>
      <c r="I26" s="245" t="n">
        <v>0</v>
      </c>
      <c r="J26" s="245" t="inlineStr">
        <is>
          <t>Yes</t>
        </is>
      </c>
      <c r="K26" s="245" t="inlineStr">
        <is>
          <t>Not started</t>
        </is>
      </c>
      <c r="L26" s="245" t="inlineStr"/>
      <c r="M26" s="245" t="inlineStr">
        <is>
          <t>2026-10-27</t>
        </is>
      </c>
    </row>
    <row r="27">
      <c r="A27" s="246" t="n">
        <v>46318</v>
      </c>
      <c r="B27" s="245" t="inlineStr">
        <is>
          <t>Fri</t>
        </is>
      </c>
      <c r="C27" s="245" t="inlineStr">
        <is>
          <t>Payments &amp; release</t>
        </is>
      </c>
      <c r="D27" s="245" t="inlineStr">
        <is>
          <t>Drive the full Stripe test-mode journey one step at a time: Monthly, Lifetime, Founder, renewal, cancel/failure, replay, refund, and dispute.</t>
        </is>
      </c>
      <c r="E27" s="245" t="inlineStr">
        <is>
          <t>1. GBP 6 hosting renewal, failure/cancel checks, async payments, out-of-order webhooks
2. Live-account QA of the 'Downgrade to Free' fix for manually-upgraded accounts and real Stripe portal unaffected</t>
        </is>
      </c>
      <c r="F27" s="245" t="inlineStr">
        <is>
          <t>Complete guided test payments and verify app access after each event.</t>
        </is>
      </c>
      <c r="G27" s="245" t="inlineStr">
        <is>
          <t>10 min + 110 min</t>
        </is>
      </c>
      <c r="H27" s="245" t="inlineStr">
        <is>
          <t>—</t>
        </is>
      </c>
      <c r="I27" s="245" t="n">
        <v>0</v>
      </c>
      <c r="J27" s="245" t="inlineStr">
        <is>
          <t>Yes</t>
        </is>
      </c>
      <c r="K27" s="245" t="inlineStr">
        <is>
          <t>Not started</t>
        </is>
      </c>
      <c r="L27" s="245" t="inlineStr"/>
      <c r="M27" s="245" t="inlineStr">
        <is>
          <t>2026-10-28</t>
        </is>
      </c>
    </row>
    <row r="28">
      <c r="A28" s="246" t="n">
        <v>46319</v>
      </c>
      <c r="B28" s="245" t="inlineStr">
        <is>
          <t>Sat</t>
        </is>
      </c>
      <c r="C28" s="245" t="inlineStr">
        <is>
          <t>Payments &amp; release</t>
        </is>
      </c>
      <c r="D28" s="245" t="inlineStr">
        <is>
          <t>Prepare the reversible Beta-closure/migration operation, final website copy, screenshots, launch post, ads, support replies, and analytics checks without publishing.</t>
        </is>
      </c>
      <c r="E28" s="24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8" s="245" t="inlineStr">
        <is>
          <t>Approve the prepared launch assets and Beta transition wording; publish nothing.</t>
        </is>
      </c>
      <c r="G28" s="245" t="inlineStr">
        <is>
          <t>15 min + up to 3 h 45 min</t>
        </is>
      </c>
      <c r="H28" s="245" t="inlineStr">
        <is>
          <t>O11</t>
        </is>
      </c>
      <c r="I28" s="245" t="n">
        <v>125</v>
      </c>
      <c r="J28" s="245" t="inlineStr">
        <is>
          <t>Yes</t>
        </is>
      </c>
      <c r="K28" s="245" t="inlineStr">
        <is>
          <t>Not started</t>
        </is>
      </c>
      <c r="L28" s="245" t="inlineStr"/>
      <c r="M28" s="245" t="inlineStr">
        <is>
          <t>2026-10-29</t>
        </is>
      </c>
    </row>
    <row r="29">
      <c r="A29" s="246" t="n">
        <v>46320</v>
      </c>
      <c r="B29" s="245" t="inlineStr">
        <is>
          <t>Sun</t>
        </is>
      </c>
      <c r="C29" s="245" t="inlineStr">
        <is>
          <t>Buffer</t>
        </is>
      </c>
      <c r="D29" s="245" t="inlineStr">
        <is>
          <t>Buffer and catch-up: repair anything still red from 1-24 Oct, rerun the affected gate checks, update every Launch Readiness Gate row with evidence.</t>
        </is>
      </c>
      <c r="E29" s="245" t="inlineStr">
        <is>
          <t>—</t>
        </is>
      </c>
      <c r="F29" s="245" t="inlineStr">
        <is>
          <t>Do your remaining overflow items (O12, O13); free otherwise. Decision D6 (latest acceptable launch slip) is due today.</t>
        </is>
      </c>
      <c r="G29" s="245" t="inlineStr">
        <is>
          <t>15 min + up to 3 h 45 min</t>
        </is>
      </c>
      <c r="H29" s="245" t="inlineStr">
        <is>
          <t>O12, O13</t>
        </is>
      </c>
      <c r="I29" s="245" t="n">
        <v>185</v>
      </c>
      <c r="J29" s="245" t="inlineStr">
        <is>
          <t>Yes</t>
        </is>
      </c>
      <c r="K29" s="245" t="inlineStr">
        <is>
          <t>Not started</t>
        </is>
      </c>
      <c r="L29" s="245" t="inlineStr"/>
      <c r="M29" s="245" t="inlineStr">
        <is>
          <t>new buffer day</t>
        </is>
      </c>
    </row>
    <row r="30">
      <c r="A30" s="246" t="n">
        <v>46321</v>
      </c>
      <c r="B30" s="245" t="inlineStr">
        <is>
          <t>Mon</t>
        </is>
      </c>
      <c r="C30" s="245" t="inlineStr">
        <is>
          <t>Buffer</t>
        </is>
      </c>
      <c r="D30" s="245" t="inlineStr">
        <is>
          <t>Buffer: repair red items; rerun the full automated gate (npm run qa, Playwright, Rust/desktop checks) to surface blockers early.</t>
        </is>
      </c>
      <c r="E30" s="245" t="inlineStr">
        <is>
          <t>—</t>
        </is>
      </c>
      <c r="F30" s="245" t="inlineStr">
        <is>
          <t>Only the verification steps the AI asks for; otherwise free.</t>
        </is>
      </c>
      <c r="G30" s="245" t="inlineStr">
        <is>
          <t>10 min + 110 min</t>
        </is>
      </c>
      <c r="H30" s="245" t="inlineStr">
        <is>
          <t>—</t>
        </is>
      </c>
      <c r="I30" s="245" t="n">
        <v>110</v>
      </c>
      <c r="J30" s="245" t="inlineStr">
        <is>
          <t>Yes</t>
        </is>
      </c>
      <c r="K30" s="245" t="inlineStr">
        <is>
          <t>Not started</t>
        </is>
      </c>
      <c r="L30" s="245" t="inlineStr"/>
      <c r="M30" s="245" t="inlineStr">
        <is>
          <t>new buffer day</t>
        </is>
      </c>
    </row>
    <row r="31">
      <c r="A31" s="246" t="n">
        <v>46322</v>
      </c>
      <c r="B31" s="245" t="inlineStr">
        <is>
          <t>Tue</t>
        </is>
      </c>
      <c r="C31" s="245" t="inlineStr">
        <is>
          <t>Buffer</t>
        </is>
      </c>
      <c r="D31" s="245" t="inlineStr">
        <is>
          <t>Buffer: repair red items; rerun security review (auth, RLS, webhook, secrets) on everything changed since 1 Oct.</t>
        </is>
      </c>
      <c r="E31" s="245" t="inlineStr">
        <is>
          <t>—</t>
        </is>
      </c>
      <c r="F31" s="245" t="inlineStr">
        <is>
          <t>Only the verification steps the AI asks for; otherwise free.</t>
        </is>
      </c>
      <c r="G31" s="245" t="inlineStr">
        <is>
          <t>10 min + 110 min</t>
        </is>
      </c>
      <c r="H31" s="245" t="inlineStr">
        <is>
          <t>—</t>
        </is>
      </c>
      <c r="I31" s="245" t="n">
        <v>110</v>
      </c>
      <c r="J31" s="245" t="inlineStr">
        <is>
          <t>Yes</t>
        </is>
      </c>
      <c r="K31" s="245" t="inlineStr">
        <is>
          <t>Not started</t>
        </is>
      </c>
      <c r="L31" s="245" t="inlineStr"/>
      <c r="M31" s="245" t="inlineStr">
        <is>
          <t>new buffer day</t>
        </is>
      </c>
    </row>
    <row r="32">
      <c r="A32" s="246" t="n">
        <v>46323</v>
      </c>
      <c r="B32" s="245" t="inlineStr">
        <is>
          <t>Wed</t>
        </is>
      </c>
      <c r="C32" s="245" t="inlineStr">
        <is>
          <t>Buffer</t>
        </is>
      </c>
      <c r="D32" s="245" t="inlineStr">
        <is>
          <t>Buffer: rerun the complete data-safety/auth/export matrix against the latest build; fix failures in priority order.</t>
        </is>
      </c>
      <c r="E32" s="245" t="inlineStr">
        <is>
          <t>—</t>
        </is>
      </c>
      <c r="F32" s="245" t="inlineStr">
        <is>
          <t>Only the verification steps the AI asks for; otherwise free.</t>
        </is>
      </c>
      <c r="G32" s="245" t="inlineStr">
        <is>
          <t>10 min + 110 min</t>
        </is>
      </c>
      <c r="H32" s="245" t="inlineStr">
        <is>
          <t>—</t>
        </is>
      </c>
      <c r="I32" s="245" t="n">
        <v>110</v>
      </c>
      <c r="J32" s="245" t="inlineStr">
        <is>
          <t>Yes</t>
        </is>
      </c>
      <c r="K32" s="245" t="inlineStr">
        <is>
          <t>Not started</t>
        </is>
      </c>
      <c r="L32" s="245" t="inlineStr"/>
      <c r="M32" s="245" t="inlineStr">
        <is>
          <t>new buffer day</t>
        </is>
      </c>
    </row>
    <row r="33">
      <c r="A33" s="246" t="n">
        <v>46324</v>
      </c>
      <c r="B33" s="245" t="inlineStr">
        <is>
          <t>Thu</t>
        </is>
      </c>
      <c r="C33" s="245" t="inlineStr">
        <is>
          <t>Buffer</t>
        </is>
      </c>
      <c r="D33" s="245" t="inlineStr">
        <is>
          <t>Pre-freeze: review every gate. If all are green, draft the go/no-go packet; if not, list the exact blockers and a repair plan for 30 Oct.</t>
        </is>
      </c>
      <c r="E33" s="245" t="inlineStr">
        <is>
          <t>—</t>
        </is>
      </c>
      <c r="F33" s="245" t="inlineStr">
        <is>
          <t>Read the gate summary and confirm you are ready to freeze on 30 Oct.</t>
        </is>
      </c>
      <c r="G33" s="245" t="inlineStr">
        <is>
          <t>10 min + 110 min</t>
        </is>
      </c>
      <c r="H33" s="245" t="inlineStr">
        <is>
          <t>—</t>
        </is>
      </c>
      <c r="I33" s="245" t="n">
        <v>110</v>
      </c>
      <c r="J33" s="245" t="inlineStr">
        <is>
          <t>Yes</t>
        </is>
      </c>
      <c r="K33" s="245" t="inlineStr">
        <is>
          <t>Not started</t>
        </is>
      </c>
      <c r="L33" s="245" t="inlineStr"/>
      <c r="M33" s="245" t="inlineStr">
        <is>
          <t>new buffer day</t>
        </is>
      </c>
    </row>
    <row r="34">
      <c r="A34" s="246" t="n">
        <v>46325</v>
      </c>
      <c r="B34" s="245" t="inlineStr">
        <is>
          <t>Fri</t>
        </is>
      </c>
      <c r="C34" s="245" t="inlineStr">
        <is>
          <t>Payments &amp; release</t>
        </is>
      </c>
      <c r="D34" s="245" t="inlineStr">
        <is>
          <t>Freeze Release Candidate 1; run full automated/browser/Rust/build/security/marketing checks and produce the final go/no-go packet.</t>
        </is>
      </c>
      <c r="E34" s="245" t="inlineStr">
        <is>
          <t>1. Final Launch Readiness Gate table update: every gate Passed with evidence or an explicit re-decision; production-deploy checks queued for 1 Nov</t>
        </is>
      </c>
      <c r="F34" s="245" t="inlineStr">
        <is>
          <t>Perform one 60-minute customer smoke test and make the formal go/no-go decision.</t>
        </is>
      </c>
      <c r="G34" s="245" t="inlineStr">
        <is>
          <t>10 min + 105 min</t>
        </is>
      </c>
      <c r="H34" s="245" t="inlineStr">
        <is>
          <t>—</t>
        </is>
      </c>
      <c r="I34" s="245" t="n">
        <v>0</v>
      </c>
      <c r="J34" s="245" t="inlineStr">
        <is>
          <t>Yes</t>
        </is>
      </c>
      <c r="K34" s="245" t="inlineStr">
        <is>
          <t>Not started</t>
        </is>
      </c>
      <c r="L34" s="245" t="inlineStr"/>
      <c r="M34" s="245" t="inlineStr">
        <is>
          <t>2026-10-30</t>
        </is>
      </c>
    </row>
    <row r="35">
      <c r="A35" s="246" t="n">
        <v>46326</v>
      </c>
      <c r="B35" s="245" t="inlineStr">
        <is>
          <t>Sat</t>
        </is>
      </c>
      <c r="C35" s="245" t="inlineStr">
        <is>
          <t>Payments &amp; release</t>
        </is>
      </c>
      <c r="D35" s="245" t="inlineStr">
        <is>
          <t>Repair only launch blockers, rerun the full gate, take backups, verify rollback/checkout-disable/support procedures, and rehearse the exact production release.</t>
        </is>
      </c>
      <c r="E35" s="245" t="inlineStr">
        <is>
          <t>1. Supabase and project backups taken and restore-tested; checkout-disable switch and rollback tested on the rehearsal</t>
        </is>
      </c>
      <c r="F35" s="245" t="inlineStr">
        <is>
          <t>Complete the full launch rehearsal in two blocks; checkout remains off.</t>
        </is>
      </c>
      <c r="G35" s="245" t="inlineStr">
        <is>
          <t>15 min + up to 3 h 45 min</t>
        </is>
      </c>
      <c r="H35" s="245" t="inlineStr">
        <is>
          <t>—</t>
        </is>
      </c>
      <c r="I35" s="245" t="n">
        <v>0</v>
      </c>
      <c r="J35" s="245" t="inlineStr">
        <is>
          <t>Yes</t>
        </is>
      </c>
      <c r="K35" s="245" t="inlineStr">
        <is>
          <t>Not started</t>
        </is>
      </c>
      <c r="L35" s="245" t="inlineStr"/>
      <c r="M35" s="245" t="inlineStr">
        <is>
          <t>2026-10-31</t>
        </is>
      </c>
    </row>
    <row r="36">
      <c r="A36" s="246" t="n">
        <v>46327</v>
      </c>
      <c r="B36" s="245" t="inlineStr">
        <is>
          <t>Sun</t>
        </is>
      </c>
      <c r="C36" s="245" t="inlineStr">
        <is>
          <t>Quiet release</t>
        </is>
      </c>
      <c r="D36" s="245" t="inlineStr">
        <is>
          <t>If every hard gate is green: take final backups, deploy the approved release, close public Beta enrollment, preserve existing testers, enable checkout quietly, and monitor.</t>
        </is>
      </c>
      <c r="E36" s="245" t="inlineStr">
        <is>
          <t>1. Post-deploy production checks: security headers, canonical redirect, Founder slot display, checkout, entitlement, save/export</t>
        </is>
      </c>
      <c r="F36" s="245" t="inlineStr">
        <is>
          <t>Complete one real purchase, verify entitlement/save/export/refund-support paths, and keep rollback ready. No advertising today.</t>
        </is>
      </c>
      <c r="G36" s="245" t="inlineStr">
        <is>
          <t>15 min + up to 3 h 45 min</t>
        </is>
      </c>
      <c r="H36" s="245" t="inlineStr">
        <is>
          <t>O15</t>
        </is>
      </c>
      <c r="I36" s="245" t="n">
        <v>0</v>
      </c>
      <c r="J36" s="245" t="inlineStr">
        <is>
          <t>Yes</t>
        </is>
      </c>
      <c r="K36" s="245" t="inlineStr">
        <is>
          <t>Not started</t>
        </is>
      </c>
      <c r="L36" s="245" t="inlineStr"/>
      <c r="M36" s="245" t="inlineStr">
        <is>
          <t>2026-11-01</t>
        </is>
      </c>
    </row>
    <row r="37">
      <c r="A37" s="246" t="n">
        <v>46328</v>
      </c>
      <c r="B37" s="245" t="inlineStr">
        <is>
          <t>Mon</t>
        </is>
      </c>
      <c r="C37" s="245" t="inlineStr">
        <is>
          <t>Public launch</t>
        </is>
      </c>
      <c r="D37" s="245" t="inlineStr">
        <is>
          <t>Recheck overnight errors, payments, entitlements, email, analytics, and support; fix only launch blockers, then publish approved marketing.</t>
        </is>
      </c>
      <c r="E37" s="245" t="inlineStr">
        <is>
          <t>1. Search Console/analytics/support monitoring active; approved marketing prepared for the owner to publish</t>
        </is>
      </c>
      <c r="F37" s="245" t="inlineStr">
        <is>
          <t>Review the morning evidence, approve the public announcement/ads, and monitor the first responses that evening.</t>
        </is>
      </c>
      <c r="G37" s="245" t="inlineStr">
        <is>
          <t>10 min + 100 min</t>
        </is>
      </c>
      <c r="H37" s="245" t="inlineStr">
        <is>
          <t>—</t>
        </is>
      </c>
      <c r="I37" s="245" t="n">
        <v>0</v>
      </c>
      <c r="J37" s="245" t="inlineStr">
        <is>
          <t>Yes</t>
        </is>
      </c>
      <c r="K37" s="245" t="inlineStr">
        <is>
          <t>Not started</t>
        </is>
      </c>
      <c r="L37" s="245" t="inlineStr"/>
      <c r="M37" s="245" t="inlineStr">
        <is>
          <t>2026-11-02</t>
        </is>
      </c>
    </row>
  </sheetData>
  <dataValidations count="1">
    <dataValidation sqref="K5:K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tabColor rgb="FF2B7A78"/>
    <outlinePr summaryBelow="1" summaryRight="1"/>
    <pageSetUpPr/>
  </sheetPr>
  <dimension ref="A2:J46"/>
  <sheetViews>
    <sheetView showGridLines="0" workbookViewId="0">
      <pane xSplit="3" ySplit="10" topLeftCell="D11" activePane="bottomRight" state="frozen"/>
      <selection activeCell="A1" sqref="A1"/>
    </sheetView>
  </sheetViews>
  <sheetFormatPr baseColWidth="8" defaultRowHeight="15"/>
  <cols>
    <col width="14" customWidth="1" min="1" max="1"/>
    <col width="12" customWidth="1" min="2" max="2"/>
    <col width="22" customWidth="1" min="3" max="3"/>
    <col width="82" customWidth="1" min="4" max="4"/>
    <col width="72" customWidth="1" min="5" max="5"/>
    <col width="21" customWidth="1" min="6" max="6"/>
    <col width="44" customWidth="1" min="7" max="7"/>
    <col width="12" customWidth="1" min="8" max="8"/>
    <col width="15" customWidth="1" min="9" max="9"/>
    <col width="34" customWidth="1" min="10" max="10"/>
  </cols>
  <sheetData>
    <row r="2">
      <c r="A2" s="1" t="inlineStr">
        <is>
          <t>YOW daily guide — 28 September to 2 November 2026</t>
        </is>
      </c>
    </row>
    <row r="3">
      <c r="A3" s="2" t="inlineStr">
        <is>
          <t>Morning: paste one prompt. Evening/weekend: do only your guided action. Never exceed the time cap.</t>
        </is>
      </c>
    </row>
    <row r="5">
      <c r="A5" s="41" t="inlineStr">
        <is>
          <t>Tasks</t>
        </is>
      </c>
      <c r="B5" s="42">
        <f>COUNTA(A11:A46)</f>
        <v/>
      </c>
      <c r="D5" s="36" t="inlineStr">
        <is>
          <t>The only rule that matters</t>
        </is>
      </c>
    </row>
    <row r="6">
      <c r="A6" s="43" t="inlineStr">
        <is>
          <t>Done</t>
        </is>
      </c>
      <c r="B6" s="44">
        <f>COUNTIF(I11:I46,"Done")</f>
        <v/>
      </c>
      <c r="D6" s="248" t="inlineStr">
        <is>
          <t>AI owns the technical work. You own guided verification and decisions. Stop at the time cap. A task may remain In progress; a hard gate may not be waved through.</t>
        </is>
      </c>
      <c r="E6" s="249" t="n"/>
      <c r="F6" s="249" t="n"/>
      <c r="G6" s="249" t="n"/>
      <c r="H6" s="249" t="n"/>
      <c r="I6" s="249" t="n"/>
      <c r="J6" s="250" t="n"/>
    </row>
    <row r="7">
      <c r="A7" s="43" t="inlineStr">
        <is>
          <t>Remaining</t>
        </is>
      </c>
      <c r="B7" s="44">
        <f>B5-B6</f>
        <v/>
      </c>
      <c r="D7" s="251" t="n"/>
      <c r="J7" s="252" t="n"/>
    </row>
    <row r="8">
      <c r="A8" s="43" t="inlineStr">
        <is>
          <t>Blocked</t>
        </is>
      </c>
      <c r="B8" s="44">
        <f>COUNTIF(I11:I46,"Blocked")</f>
        <v/>
      </c>
      <c r="D8" s="251" t="n"/>
      <c r="J8" s="252" t="n"/>
    </row>
    <row r="9">
      <c r="A9" s="45" t="inlineStr">
        <is>
          <t>Progress</t>
        </is>
      </c>
      <c r="B9" s="253">
        <f>IFERROR(B6/B5,0)</f>
        <v/>
      </c>
      <c r="D9" s="254" t="n"/>
      <c r="E9" s="255" t="n"/>
      <c r="F9" s="255" t="n"/>
      <c r="G9" s="255" t="n"/>
      <c r="H9" s="255" t="n"/>
      <c r="I9" s="255" t="n"/>
      <c r="J9" s="256" t="n"/>
    </row>
    <row r="10" ht="36" customHeight="1">
      <c r="A10" s="94" t="inlineStr">
        <is>
          <t>Date</t>
        </is>
      </c>
      <c r="B10" s="94" t="inlineStr">
        <is>
          <t>Day</t>
        </is>
      </c>
      <c r="C10" s="94" t="inlineStr">
        <is>
          <t>Phase</t>
        </is>
      </c>
      <c r="D10" s="94" t="inlineStr">
        <is>
          <t>Morning: copy this entire prompt into Codex</t>
        </is>
      </c>
      <c r="E10" s="94" t="inlineStr">
        <is>
          <t>Evening / weekend: exactly what you do</t>
        </is>
      </c>
      <c r="F10" s="94" t="inlineStr">
        <is>
          <t>Time cap</t>
        </is>
      </c>
      <c r="G10" s="94" t="inlineStr">
        <is>
          <t>Done means</t>
        </is>
      </c>
      <c r="H10" s="94" t="inlineStr">
        <is>
          <t>Hard gate?</t>
        </is>
      </c>
      <c r="I10" s="94" t="inlineStr">
        <is>
          <t>Status</t>
        </is>
      </c>
      <c r="J10" s="94" t="inlineStr">
        <is>
          <t>Notes / evidence</t>
        </is>
      </c>
    </row>
    <row r="11" ht="168" customHeight="1">
      <c r="A11" s="257" t="n">
        <v>46293.5</v>
      </c>
      <c r="B11" s="96" t="inlineStr">
        <is>
          <t>Weekday</t>
        </is>
      </c>
      <c r="C11" s="97" t="inlineStr">
        <is>
          <t>Release &amp; data safety</t>
        </is>
      </c>
      <c r="D11" s="98"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98"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98" t="inlineStr">
        <is>
          <t>10 min morning + 75 min evening</t>
        </is>
      </c>
      <c r="G11" s="98" t="inlineStr">
        <is>
          <t>The named test passes with saved evidence and no unresolved auth, data-loss, isolation, save, restore, or export blocker.</t>
        </is>
      </c>
      <c r="H11" s="99" t="inlineStr">
        <is>
          <t>Yes</t>
        </is>
      </c>
      <c r="I11" s="99" t="inlineStr">
        <is>
          <t>Done</t>
        </is>
      </c>
      <c r="J11" s="98"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c r="A12" s="257" t="n">
        <v>46294.5</v>
      </c>
      <c r="B12" s="96" t="inlineStr">
        <is>
          <t>Weekday</t>
        </is>
      </c>
      <c r="C12" s="97" t="inlineStr">
        <is>
          <t>Release &amp; data safety</t>
        </is>
      </c>
      <c r="D12" s="98"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98"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98" t="inlineStr">
        <is>
          <t>10 min + 90 min</t>
        </is>
      </c>
      <c r="G12" s="98" t="inlineStr">
        <is>
          <t>The named test passes with saved evidence and no unresolved auth, data-loss, isolation, save, restore, or export blocker.</t>
        </is>
      </c>
      <c r="H12" s="99" t="inlineStr">
        <is>
          <t>Yes</t>
        </is>
      </c>
      <c r="I12" s="99" t="inlineStr">
        <is>
          <t>Done</t>
        </is>
      </c>
      <c r="J12" s="98"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c r="A13" s="257" t="n">
        <v>46295.5</v>
      </c>
      <c r="B13" s="96" t="inlineStr">
        <is>
          <t>Weekday</t>
        </is>
      </c>
      <c r="C13" s="97" t="inlineStr">
        <is>
          <t>Release &amp; data safety</t>
        </is>
      </c>
      <c r="D13" s="98"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98"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98" t="inlineStr">
        <is>
          <t>10 min + 90 min</t>
        </is>
      </c>
      <c r="G13" s="98" t="inlineStr">
        <is>
          <t>The named test passes with saved evidence and no unresolved auth, data-loss, isolation, save, restore, or export blocker.</t>
        </is>
      </c>
      <c r="H13" s="99" t="inlineStr">
        <is>
          <t>Yes</t>
        </is>
      </c>
      <c r="I13" s="99" t="inlineStr">
        <is>
          <t>Done</t>
        </is>
      </c>
      <c r="J13" s="98"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c r="A14" s="257" t="n">
        <v>46296.5</v>
      </c>
      <c r="B14" s="96" t="inlineStr">
        <is>
          <t>Weekday</t>
        </is>
      </c>
      <c r="C14" s="97" t="inlineStr">
        <is>
          <t>Release &amp; data safety</t>
        </is>
      </c>
      <c r="D14" s="98"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98"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98" t="inlineStr">
        <is>
          <t>10 min + 90 min</t>
        </is>
      </c>
      <c r="G14" s="98" t="inlineStr">
        <is>
          <t>The named test passes with saved evidence and no unresolved auth, data-loss, isolation, save, restore, or export blocker.</t>
        </is>
      </c>
      <c r="H14" s="99" t="inlineStr">
        <is>
          <t>Yes</t>
        </is>
      </c>
      <c r="I14" s="99" t="inlineStr">
        <is>
          <t>Done</t>
        </is>
      </c>
      <c r="J14" s="98"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c r="A15" s="257" t="n">
        <v>46297.5</v>
      </c>
      <c r="B15" s="96" t="inlineStr">
        <is>
          <t>Weekday</t>
        </is>
      </c>
      <c r="C15" s="97" t="inlineStr">
        <is>
          <t>Release &amp; data safety</t>
        </is>
      </c>
      <c r="D15" s="98"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98"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98" t="inlineStr">
        <is>
          <t>10 min + 90 min</t>
        </is>
      </c>
      <c r="G15" s="98" t="inlineStr">
        <is>
          <t>The named test passes with saved evidence and no unresolved auth, data-loss, isolation, save, restore, or export blocker.</t>
        </is>
      </c>
      <c r="H15" s="99" t="inlineStr">
        <is>
          <t>Yes</t>
        </is>
      </c>
      <c r="I15" s="99" t="inlineStr">
        <is>
          <t>Done</t>
        </is>
      </c>
      <c r="J15" s="98"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c r="A16" s="257" t="n">
        <v>46298.5</v>
      </c>
      <c r="B16" s="100" t="inlineStr">
        <is>
          <t>Weekend</t>
        </is>
      </c>
      <c r="C16" s="97" t="inlineStr">
        <is>
          <t>Release &amp; data safety</t>
        </is>
      </c>
      <c r="D16" s="98"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98" t="inlineStr">
        <is>
          <t>15 min + up to 3 h 45 min</t>
        </is>
      </c>
      <c r="G16" s="98" t="inlineStr">
        <is>
          <t>The named test passes with saved evidence and no unresolved auth, data-loss, isolation, save, restore, or export blocker.</t>
        </is>
      </c>
      <c r="H16" s="99" t="inlineStr">
        <is>
          <t>Yes</t>
        </is>
      </c>
      <c r="I16" s="99" t="inlineStr">
        <is>
          <t>Done</t>
        </is>
      </c>
      <c r="J16" s="98"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is>
      </c>
    </row>
    <row r="17" ht="168" customHeight="1">
      <c r="A17" s="257" t="n">
        <v>46299.5</v>
      </c>
      <c r="B17" s="100" t="inlineStr">
        <is>
          <t>Weekend</t>
        </is>
      </c>
      <c r="C17" s="97" t="inlineStr">
        <is>
          <t>Release &amp; data safety</t>
        </is>
      </c>
      <c r="D17" s="98"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98" t="inlineStr">
        <is>
          <t>15 min + up to 3 h 45 min</t>
        </is>
      </c>
      <c r="G17" s="98" t="inlineStr">
        <is>
          <t>The named test passes with saved evidence and no unresolved auth, data-loss, isolation, save, restore, or export blocker.</t>
        </is>
      </c>
      <c r="H17" s="99" t="inlineStr">
        <is>
          <t>Yes</t>
        </is>
      </c>
      <c r="I17" s="99" t="inlineStr">
        <is>
          <t>Done</t>
        </is>
      </c>
      <c r="J17" s="98"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is>
      </c>
    </row>
    <row r="18" ht="168" customHeight="1">
      <c r="A18" s="257" t="n">
        <v>46300.5</v>
      </c>
      <c r="B18" s="96" t="inlineStr">
        <is>
          <t>Weekday</t>
        </is>
      </c>
      <c r="C18" s="101" t="inlineStr">
        <is>
          <t>Cloud &amp; security</t>
        </is>
      </c>
      <c r="D18" s="98"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98"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98" t="inlineStr">
        <is>
          <t>10 min + 90 min</t>
        </is>
      </c>
      <c r="G18" s="98" t="inlineStr">
        <is>
          <t>The named production or export check passes with saved evidence and no unresolved security, ownership, storage, or lifecycle blocker.</t>
        </is>
      </c>
      <c r="H18" s="99" t="inlineStr">
        <is>
          <t>Yes</t>
        </is>
      </c>
      <c r="I18" s="99" t="inlineStr">
        <is>
          <t>Done</t>
        </is>
      </c>
      <c r="J18" s="98"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is>
      </c>
    </row>
    <row r="19" ht="168" customHeight="1">
      <c r="A19" s="257" t="n">
        <v>46301.5</v>
      </c>
      <c r="B19" s="96" t="inlineStr">
        <is>
          <t>Weekday</t>
        </is>
      </c>
      <c r="C19" s="101" t="inlineStr">
        <is>
          <t>Cloud &amp; security</t>
        </is>
      </c>
      <c r="D19" s="98"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98"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98" t="inlineStr">
        <is>
          <t>10 min + 75 min</t>
        </is>
      </c>
      <c r="G19" s="98" t="inlineStr">
        <is>
          <t>The named production or export check passes with saved evidence and no unresolved security, ownership, storage, or lifecycle blocker.</t>
        </is>
      </c>
      <c r="H19" s="99" t="inlineStr">
        <is>
          <t>Yes</t>
        </is>
      </c>
      <c r="I19" s="99" t="inlineStr">
        <is>
          <t>Not started</t>
        </is>
      </c>
      <c r="J19" s="98" t="str"/>
    </row>
    <row r="20" ht="168" customHeight="1">
      <c r="A20" s="257" t="n">
        <v>46302.5</v>
      </c>
      <c r="B20" s="96" t="inlineStr">
        <is>
          <t>Weekday</t>
        </is>
      </c>
      <c r="C20" s="101" t="inlineStr">
        <is>
          <t>Cloud &amp; security</t>
        </is>
      </c>
      <c r="D20" s="98"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98"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98" t="inlineStr">
        <is>
          <t>10 min + 75 min</t>
        </is>
      </c>
      <c r="G20" s="98" t="inlineStr">
        <is>
          <t>The named production or export check passes with saved evidence and no unresolved security, ownership, storage, or lifecycle blocker.</t>
        </is>
      </c>
      <c r="H20" s="99" t="inlineStr">
        <is>
          <t>Yes</t>
        </is>
      </c>
      <c r="I20" s="99" t="inlineStr">
        <is>
          <t>Moved</t>
        </is>
      </c>
      <c r="J20" s="98" t="inlineStr">
        <is>
          <t>Moved 30 Sep: this day's content is rescheduled on the 'Plan from 1 Oct' sheet.</t>
        </is>
      </c>
    </row>
    <row r="21" ht="168" customHeight="1">
      <c r="A21" s="257" t="n">
        <v>46303.5</v>
      </c>
      <c r="B21" s="96" t="inlineStr">
        <is>
          <t>Weekday</t>
        </is>
      </c>
      <c r="C21" s="101" t="inlineStr">
        <is>
          <t>Cloud &amp; security</t>
        </is>
      </c>
      <c r="D21" s="98"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98"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98" t="inlineStr">
        <is>
          <t>10 min + 90 min</t>
        </is>
      </c>
      <c r="G21" s="98" t="inlineStr">
        <is>
          <t>The named production or export check passes with saved evidence and no unresolved security, ownership, storage, or lifecycle blocker.</t>
        </is>
      </c>
      <c r="H21" s="99" t="inlineStr">
        <is>
          <t>Yes</t>
        </is>
      </c>
      <c r="I21" s="99" t="inlineStr">
        <is>
          <t>Moved</t>
        </is>
      </c>
      <c r="J21" s="98" t="inlineStr">
        <is>
          <t>Moved 30 Sep: this day's content is rescheduled on the 'Plan from 1 Oct' sheet.</t>
        </is>
      </c>
    </row>
    <row r="22" ht="168" customHeight="1">
      <c r="A22" s="257" t="n">
        <v>46304.5</v>
      </c>
      <c r="B22" s="96" t="inlineStr">
        <is>
          <t>Weekday</t>
        </is>
      </c>
      <c r="C22" s="101" t="inlineStr">
        <is>
          <t>Cloud &amp; security</t>
        </is>
      </c>
      <c r="D22" s="98"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98"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98" t="inlineStr">
        <is>
          <t>10 min + 60 min</t>
        </is>
      </c>
      <c r="G22" s="98" t="inlineStr">
        <is>
          <t>The named production or export check passes with saved evidence and no unresolved security, ownership, storage, or lifecycle blocker.</t>
        </is>
      </c>
      <c r="H22" s="99" t="inlineStr">
        <is>
          <t>Yes</t>
        </is>
      </c>
      <c r="I22" s="99" t="inlineStr">
        <is>
          <t>Moved</t>
        </is>
      </c>
      <c r="J22" s="98" t="inlineStr">
        <is>
          <t>Moved 30 Sep: this day's content is rescheduled on the 'Plan from 1 Oct' sheet.</t>
        </is>
      </c>
    </row>
    <row r="23" ht="168" customHeight="1">
      <c r="A23" s="257" t="n">
        <v>46305.5</v>
      </c>
      <c r="B23" s="100" t="inlineStr">
        <is>
          <t>Weekend</t>
        </is>
      </c>
      <c r="C23" s="101" t="inlineStr">
        <is>
          <t>Cloud &amp; security</t>
        </is>
      </c>
      <c r="D23" s="98"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98" t="inlineStr">
        <is>
          <t>15 min + up to 3 h 45 min</t>
        </is>
      </c>
      <c r="G23" s="98" t="inlineStr">
        <is>
          <t>The named production or export check passes with saved evidence and no unresolved security, ownership, storage, or lifecycle blocker.</t>
        </is>
      </c>
      <c r="H23" s="99" t="inlineStr">
        <is>
          <t>Yes</t>
        </is>
      </c>
      <c r="I23" s="99" t="inlineStr">
        <is>
          <t>Moved</t>
        </is>
      </c>
      <c r="J23" s="98" t="inlineStr">
        <is>
          <t>Moved 30 Sep: this day's content is rescheduled on the 'Plan from 1 Oct' sheet.</t>
        </is>
      </c>
    </row>
    <row r="24" ht="168" customHeight="1">
      <c r="A24" s="257" t="n">
        <v>46306.5</v>
      </c>
      <c r="B24" s="100" t="inlineStr">
        <is>
          <t>Weekend</t>
        </is>
      </c>
      <c r="C24" s="101" t="inlineStr">
        <is>
          <t>Cloud &amp; security</t>
        </is>
      </c>
      <c r="D24" s="98"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98" t="inlineStr">
        <is>
          <t>15 min + up to 3 h 45 min</t>
        </is>
      </c>
      <c r="G24" s="98" t="inlineStr">
        <is>
          <t>The named production or export check passes with saved evidence and no unresolved security, ownership, storage, or lifecycle blocker.</t>
        </is>
      </c>
      <c r="H24" s="99" t="inlineStr">
        <is>
          <t>Yes</t>
        </is>
      </c>
      <c r="I24" s="99" t="inlineStr">
        <is>
          <t>Moved</t>
        </is>
      </c>
      <c r="J24" s="98" t="inlineStr">
        <is>
          <t>Moved 30 Sep: this day's content is rescheduled on the 'Plan from 1 Oct' sheet.</t>
        </is>
      </c>
    </row>
    <row r="25" ht="168" customHeight="1">
      <c r="A25" s="257" t="n">
        <v>46307.5</v>
      </c>
      <c r="B25" s="96" t="inlineStr">
        <is>
          <t>Weekday</t>
        </is>
      </c>
      <c r="C25" s="100" t="inlineStr">
        <is>
          <t>Desktop</t>
        </is>
      </c>
      <c r="D25" s="98"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98"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98" t="inlineStr">
        <is>
          <t>10 min + 100 min</t>
        </is>
      </c>
      <c r="G25" s="98" t="inlineStr">
        <is>
          <t>The named packaged-app journey passes on the required real machine, and the evidence is saved.</t>
        </is>
      </c>
      <c r="H25" s="99" t="inlineStr">
        <is>
          <t>Yes</t>
        </is>
      </c>
      <c r="I25" s="99" t="inlineStr">
        <is>
          <t>Moved</t>
        </is>
      </c>
      <c r="J25" s="98" t="inlineStr">
        <is>
          <t>Moved 30 Sep: this day's content is rescheduled on the 'Plan from 1 Oct' sheet.</t>
        </is>
      </c>
    </row>
    <row r="26" ht="168" customHeight="1">
      <c r="A26" s="257" t="n">
        <v>46308.5</v>
      </c>
      <c r="B26" s="96" t="inlineStr">
        <is>
          <t>Weekday</t>
        </is>
      </c>
      <c r="C26" s="100" t="inlineStr">
        <is>
          <t>Desktop</t>
        </is>
      </c>
      <c r="D26" s="98"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98"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98" t="inlineStr">
        <is>
          <t>10 min + 100 min</t>
        </is>
      </c>
      <c r="G26" s="98" t="inlineStr">
        <is>
          <t>The named packaged-app journey passes on the required real machine, and the evidence is saved.</t>
        </is>
      </c>
      <c r="H26" s="99" t="inlineStr">
        <is>
          <t>Yes</t>
        </is>
      </c>
      <c r="I26" s="99" t="inlineStr">
        <is>
          <t>Moved</t>
        </is>
      </c>
      <c r="J26" s="98" t="inlineStr">
        <is>
          <t>Moved 30 Sep: this day's content is rescheduled on the 'Plan from 1 Oct' sheet.</t>
        </is>
      </c>
    </row>
    <row r="27" ht="168" customHeight="1">
      <c r="A27" s="257" t="n">
        <v>46309.5</v>
      </c>
      <c r="B27" s="96" t="inlineStr">
        <is>
          <t>Weekday</t>
        </is>
      </c>
      <c r="C27" s="100" t="inlineStr">
        <is>
          <t>Desktop</t>
        </is>
      </c>
      <c r="D27" s="98"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98"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98" t="inlineStr">
        <is>
          <t>10 min + 90 min</t>
        </is>
      </c>
      <c r="G27" s="98" t="inlineStr">
        <is>
          <t>The named packaged-app journey passes on the required real machine, and the evidence is saved.</t>
        </is>
      </c>
      <c r="H27" s="99" t="inlineStr">
        <is>
          <t>Yes</t>
        </is>
      </c>
      <c r="I27" s="99" t="inlineStr">
        <is>
          <t>Moved</t>
        </is>
      </c>
      <c r="J27" s="98" t="inlineStr">
        <is>
          <t>Moved 30 Sep: this day's content is rescheduled on the 'Plan from 1 Oct' sheet.</t>
        </is>
      </c>
    </row>
    <row r="28" ht="168" customHeight="1">
      <c r="A28" s="257" t="n">
        <v>46310.5</v>
      </c>
      <c r="B28" s="96" t="inlineStr">
        <is>
          <t>Weekday</t>
        </is>
      </c>
      <c r="C28" s="100" t="inlineStr">
        <is>
          <t>Desktop</t>
        </is>
      </c>
      <c r="D28" s="98"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98"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98" t="inlineStr">
        <is>
          <t>10 min + 100 min</t>
        </is>
      </c>
      <c r="G28" s="98" t="inlineStr">
        <is>
          <t>The named packaged-app journey passes on the required real machine, and the evidence is saved.</t>
        </is>
      </c>
      <c r="H28" s="99" t="inlineStr">
        <is>
          <t>Yes</t>
        </is>
      </c>
      <c r="I28" s="99" t="inlineStr">
        <is>
          <t>Moved</t>
        </is>
      </c>
      <c r="J28" s="98" t="inlineStr">
        <is>
          <t>Moved 30 Sep: this day's content is rescheduled on the 'Plan from 1 Oct' sheet.</t>
        </is>
      </c>
    </row>
    <row r="29" ht="168" customHeight="1">
      <c r="A29" s="257" t="n">
        <v>46311.5</v>
      </c>
      <c r="B29" s="96" t="inlineStr">
        <is>
          <t>Weekday</t>
        </is>
      </c>
      <c r="C29" s="100" t="inlineStr">
        <is>
          <t>Desktop</t>
        </is>
      </c>
      <c r="D29" s="98"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98"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98" t="inlineStr">
        <is>
          <t>10 min + 75 min</t>
        </is>
      </c>
      <c r="G29" s="98" t="inlineStr">
        <is>
          <t>The named packaged-app journey passes on the required real machine, and the evidence is saved.</t>
        </is>
      </c>
      <c r="H29" s="99" t="inlineStr">
        <is>
          <t>Yes</t>
        </is>
      </c>
      <c r="I29" s="99" t="inlineStr">
        <is>
          <t>Moved</t>
        </is>
      </c>
      <c r="J29" s="98" t="inlineStr">
        <is>
          <t>Moved 30 Sep: this day's content is rescheduled on the 'Plan from 1 Oct' sheet.</t>
        </is>
      </c>
    </row>
    <row r="30" ht="168" customHeight="1">
      <c r="A30" s="257" t="n">
        <v>46312.5</v>
      </c>
      <c r="B30" s="100" t="inlineStr">
        <is>
          <t>Weekend</t>
        </is>
      </c>
      <c r="C30" s="100" t="inlineStr">
        <is>
          <t>Desktop</t>
        </is>
      </c>
      <c r="D30" s="98"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98" t="inlineStr">
        <is>
          <t>15 min + up to 3 h 45 min</t>
        </is>
      </c>
      <c r="G30" s="98" t="inlineStr">
        <is>
          <t>The named packaged-app journey passes on the required real machine, and the evidence is saved.</t>
        </is>
      </c>
      <c r="H30" s="99" t="inlineStr">
        <is>
          <t>Yes</t>
        </is>
      </c>
      <c r="I30" s="99" t="inlineStr">
        <is>
          <t>Moved</t>
        </is>
      </c>
      <c r="J30" s="98" t="inlineStr">
        <is>
          <t>Moved 30 Sep: this day's content is rescheduled on the 'Plan from 1 Oct' sheet.</t>
        </is>
      </c>
    </row>
    <row r="31" ht="168" customHeight="1">
      <c r="A31" s="257" t="n">
        <v>46313.5</v>
      </c>
      <c r="B31" s="100" t="inlineStr">
        <is>
          <t>Weekend</t>
        </is>
      </c>
      <c r="C31" s="100" t="inlineStr">
        <is>
          <t>Desktop</t>
        </is>
      </c>
      <c r="D31" s="98"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98" t="inlineStr">
        <is>
          <t>15 min + up to 3 h 45 min</t>
        </is>
      </c>
      <c r="G31" s="98" t="inlineStr">
        <is>
          <t>The named packaged-app journey passes on the required real machine, and the evidence is saved.</t>
        </is>
      </c>
      <c r="H31" s="99" t="inlineStr">
        <is>
          <t>Yes</t>
        </is>
      </c>
      <c r="I31" s="99" t="inlineStr">
        <is>
          <t>Moved</t>
        </is>
      </c>
      <c r="J31" s="98" t="inlineStr">
        <is>
          <t>Moved 30 Sep: this day's content is rescheduled on the 'Plan from 1 Oct' sheet.</t>
        </is>
      </c>
    </row>
    <row r="32" ht="168" customHeight="1">
      <c r="A32" s="257" t="n">
        <v>46314.5</v>
      </c>
      <c r="B32" s="96" t="inlineStr">
        <is>
          <t>Weekday</t>
        </is>
      </c>
      <c r="C32" s="102" t="inlineStr">
        <is>
          <t>Product acceptance</t>
        </is>
      </c>
      <c r="D32" s="98"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98"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98" t="inlineStr">
        <is>
          <t>10 min + 100 min</t>
        </is>
      </c>
      <c r="G32" s="98" t="inlineStr">
        <is>
          <t>The named customer journey works as advertised, and any reproducible launch-blocking failure is fixed and retested.</t>
        </is>
      </c>
      <c r="H32" s="99" t="inlineStr">
        <is>
          <t>Yes</t>
        </is>
      </c>
      <c r="I32" s="99" t="inlineStr">
        <is>
          <t>Moved</t>
        </is>
      </c>
      <c r="J32" s="98" t="inlineStr">
        <is>
          <t>Moved 30 Sep: this day's content is rescheduled on the 'Plan from 1 Oct' sheet.</t>
        </is>
      </c>
    </row>
    <row r="33" ht="168" customHeight="1">
      <c r="A33" s="257" t="n">
        <v>46315.5</v>
      </c>
      <c r="B33" s="96" t="inlineStr">
        <is>
          <t>Weekday</t>
        </is>
      </c>
      <c r="C33" s="102" t="inlineStr">
        <is>
          <t>Product acceptance</t>
        </is>
      </c>
      <c r="D33" s="98"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98"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98" t="inlineStr">
        <is>
          <t>10 min + 100 min</t>
        </is>
      </c>
      <c r="G33" s="98" t="inlineStr">
        <is>
          <t>The named customer journey works as advertised, and any reproducible launch-blocking failure is fixed and retested.</t>
        </is>
      </c>
      <c r="H33" s="99" t="inlineStr">
        <is>
          <t>Yes</t>
        </is>
      </c>
      <c r="I33" s="99" t="inlineStr">
        <is>
          <t>Moved</t>
        </is>
      </c>
      <c r="J33" s="98" t="inlineStr">
        <is>
          <t>Moved 30 Sep: this day's content is rescheduled on the 'Plan from 1 Oct' sheet.</t>
        </is>
      </c>
    </row>
    <row r="34" ht="168" customHeight="1">
      <c r="A34" s="257" t="n">
        <v>46316.5</v>
      </c>
      <c r="B34" s="96" t="inlineStr">
        <is>
          <t>Weekday</t>
        </is>
      </c>
      <c r="C34" s="102" t="inlineStr">
        <is>
          <t>Product acceptance</t>
        </is>
      </c>
      <c r="D34" s="98"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98"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98" t="inlineStr">
        <is>
          <t>10 min + 100 min</t>
        </is>
      </c>
      <c r="G34" s="98" t="inlineStr">
        <is>
          <t>The named customer journey works as advertised, and any reproducible launch-blocking failure is fixed and retested.</t>
        </is>
      </c>
      <c r="H34" s="99" t="inlineStr">
        <is>
          <t>Yes</t>
        </is>
      </c>
      <c r="I34" s="99" t="inlineStr">
        <is>
          <t>Moved</t>
        </is>
      </c>
      <c r="J34" s="98" t="inlineStr">
        <is>
          <t>Moved 30 Sep: this day's content is rescheduled on the 'Plan from 1 Oct' sheet.</t>
        </is>
      </c>
    </row>
    <row r="35" ht="168" customHeight="1">
      <c r="A35" s="257" t="n">
        <v>46317.5</v>
      </c>
      <c r="B35" s="96" t="inlineStr">
        <is>
          <t>Weekday</t>
        </is>
      </c>
      <c r="C35" s="102" t="inlineStr">
        <is>
          <t>Product acceptance</t>
        </is>
      </c>
      <c r="D35" s="98"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98"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98" t="inlineStr">
        <is>
          <t>10 min + 100 min</t>
        </is>
      </c>
      <c r="G35" s="98" t="inlineStr">
        <is>
          <t>The named customer journey works as advertised, and any reproducible launch-blocking failure is fixed and retested.</t>
        </is>
      </c>
      <c r="H35" s="99" t="inlineStr">
        <is>
          <t>Yes</t>
        </is>
      </c>
      <c r="I35" s="99" t="inlineStr">
        <is>
          <t>Moved</t>
        </is>
      </c>
      <c r="J35" s="98" t="inlineStr">
        <is>
          <t>Moved 30 Sep: this day's content is rescheduled on the 'Plan from 1 Oct' sheet.</t>
        </is>
      </c>
    </row>
    <row r="36" ht="168" customHeight="1">
      <c r="A36" s="257" t="n">
        <v>46318.5</v>
      </c>
      <c r="B36" s="96" t="inlineStr">
        <is>
          <t>Weekday</t>
        </is>
      </c>
      <c r="C36" s="102" t="inlineStr">
        <is>
          <t>Product acceptance</t>
        </is>
      </c>
      <c r="D36" s="98"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98"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98" t="inlineStr">
        <is>
          <t>10 min + 100 min</t>
        </is>
      </c>
      <c r="G36" s="98" t="inlineStr">
        <is>
          <t>The named customer journey works as advertised, and any reproducible launch-blocking failure is fixed and retested.</t>
        </is>
      </c>
      <c r="H36" s="99" t="inlineStr">
        <is>
          <t>Yes</t>
        </is>
      </c>
      <c r="I36" s="99" t="inlineStr">
        <is>
          <t>Moved</t>
        </is>
      </c>
      <c r="J36" s="98" t="inlineStr">
        <is>
          <t>Moved 30 Sep: this day's content is rescheduled on the 'Plan from 1 Oct' sheet.</t>
        </is>
      </c>
    </row>
    <row r="37" ht="168" customHeight="1">
      <c r="A37" s="257" t="n">
        <v>46319.5</v>
      </c>
      <c r="B37" s="100" t="inlineStr">
        <is>
          <t>Weekend</t>
        </is>
      </c>
      <c r="C37" s="102" t="inlineStr">
        <is>
          <t>Product acceptance</t>
        </is>
      </c>
      <c r="D37" s="98"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98" t="inlineStr">
        <is>
          <t>15 min + up to 3 h 45 min</t>
        </is>
      </c>
      <c r="G37" s="98" t="inlineStr">
        <is>
          <t>The named customer journey works as advertised, and any reproducible launch-blocking failure is fixed and retested.</t>
        </is>
      </c>
      <c r="H37" s="99" t="inlineStr">
        <is>
          <t>Yes</t>
        </is>
      </c>
      <c r="I37" s="99" t="inlineStr">
        <is>
          <t>Moved</t>
        </is>
      </c>
      <c r="J37" s="98" t="inlineStr">
        <is>
          <t>Moved 30 Sep: this day's content is rescheduled on the 'Plan from 1 Oct' sheet.</t>
        </is>
      </c>
    </row>
    <row r="38" ht="168" customHeight="1">
      <c r="A38" s="257" t="n">
        <v>46320.5</v>
      </c>
      <c r="B38" s="100" t="inlineStr">
        <is>
          <t>Weekend</t>
        </is>
      </c>
      <c r="C38" s="102" t="inlineStr">
        <is>
          <t>Product acceptance</t>
        </is>
      </c>
      <c r="D38" s="98"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98" t="inlineStr">
        <is>
          <t>15 min + up to 3 h 45 min</t>
        </is>
      </c>
      <c r="G38" s="98" t="inlineStr">
        <is>
          <t>The named customer journey works as advertised, and any reproducible launch-blocking failure is fixed and retested.</t>
        </is>
      </c>
      <c r="H38" s="99" t="inlineStr">
        <is>
          <t>Yes</t>
        </is>
      </c>
      <c r="I38" s="99" t="inlineStr">
        <is>
          <t>Moved</t>
        </is>
      </c>
      <c r="J38" s="98" t="inlineStr">
        <is>
          <t>Moved 30 Sep: this day's content is rescheduled on the 'Plan from 1 Oct' sheet.</t>
        </is>
      </c>
    </row>
    <row r="39" ht="168" customHeight="1">
      <c r="A39" s="257" t="n">
        <v>46321.5</v>
      </c>
      <c r="B39" s="96" t="inlineStr">
        <is>
          <t>Weekday</t>
        </is>
      </c>
      <c r="C39" s="103" t="inlineStr">
        <is>
          <t>Payments &amp; release</t>
        </is>
      </c>
      <c r="D39" s="98"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98"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98" t="inlineStr">
        <is>
          <t>10 min + 100 min</t>
        </is>
      </c>
      <c r="G39" s="98" t="inlineStr">
        <is>
          <t>The named legal, payment, Beta, or release check passes, evidence is saved, and no promise conflicts with behaviour.</t>
        </is>
      </c>
      <c r="H39" s="99" t="inlineStr">
        <is>
          <t>Yes</t>
        </is>
      </c>
      <c r="I39" s="99" t="inlineStr">
        <is>
          <t>Moved</t>
        </is>
      </c>
      <c r="J39" s="98" t="inlineStr">
        <is>
          <t>Moved 30 Sep: this day's content is rescheduled on the 'Plan from 1 Oct' sheet.</t>
        </is>
      </c>
    </row>
    <row r="40" ht="168" customHeight="1">
      <c r="A40" s="257" t="n">
        <v>46322.5</v>
      </c>
      <c r="B40" s="96" t="inlineStr">
        <is>
          <t>Weekday</t>
        </is>
      </c>
      <c r="C40" s="103" t="inlineStr">
        <is>
          <t>Payments &amp; release</t>
        </is>
      </c>
      <c r="D40" s="98"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98"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98" t="inlineStr">
        <is>
          <t>10 min + 90 min</t>
        </is>
      </c>
      <c r="G40" s="98" t="inlineStr">
        <is>
          <t>The named legal, payment, Beta, or release check passes, evidence is saved, and no promise conflicts with behaviour.</t>
        </is>
      </c>
      <c r="H40" s="99" t="inlineStr">
        <is>
          <t>Yes</t>
        </is>
      </c>
      <c r="I40" s="99" t="inlineStr">
        <is>
          <t>Moved</t>
        </is>
      </c>
      <c r="J40" s="98" t="inlineStr">
        <is>
          <t>Moved 30 Sep: this day's content is rescheduled on the 'Plan from 1 Oct' sheet.</t>
        </is>
      </c>
    </row>
    <row r="41" ht="168" customHeight="1">
      <c r="A41" s="257" t="n">
        <v>46323.5</v>
      </c>
      <c r="B41" s="96" t="inlineStr">
        <is>
          <t>Weekday</t>
        </is>
      </c>
      <c r="C41" s="103" t="inlineStr">
        <is>
          <t>Payments &amp; release</t>
        </is>
      </c>
      <c r="D41" s="98"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Lifetime, Founder, renewal, cancel/failure,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98"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98" t="inlineStr">
        <is>
          <t>10 min + 110 min</t>
        </is>
      </c>
      <c r="G41" s="98" t="inlineStr">
        <is>
          <t>The named legal, payment, Beta, or release check passes, evidence is saved, and no promise conflicts with behaviour.</t>
        </is>
      </c>
      <c r="H41" s="99" t="inlineStr">
        <is>
          <t>Yes</t>
        </is>
      </c>
      <c r="I41" s="99" t="inlineStr">
        <is>
          <t>Moved</t>
        </is>
      </c>
      <c r="J41" s="98" t="inlineStr">
        <is>
          <t>Moved 30 Sep: this day's content is rescheduled on the 'Plan from 1 Oct' sheet.</t>
        </is>
      </c>
    </row>
    <row r="42" ht="168" customHeight="1">
      <c r="A42" s="257" t="n">
        <v>46324.5</v>
      </c>
      <c r="B42" s="96" t="inlineStr">
        <is>
          <t>Weekday</t>
        </is>
      </c>
      <c r="C42" s="103" t="inlineStr">
        <is>
          <t>Payments &amp; release</t>
        </is>
      </c>
      <c r="D42" s="98"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98"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98" t="inlineStr">
        <is>
          <t>10 min + 90 min</t>
        </is>
      </c>
      <c r="G42" s="98" t="inlineStr">
        <is>
          <t>The named legal, payment, Beta, or release check passes, evidence is saved, and no promise conflicts with behaviour.</t>
        </is>
      </c>
      <c r="H42" s="99" t="inlineStr">
        <is>
          <t>Yes</t>
        </is>
      </c>
      <c r="I42" s="99" t="inlineStr">
        <is>
          <t>Moved</t>
        </is>
      </c>
      <c r="J42" s="98" t="inlineStr">
        <is>
          <t>Moved 30 Sep: this day's content is rescheduled on the 'Plan from 1 Oct' sheet.</t>
        </is>
      </c>
    </row>
    <row r="43" ht="168" customHeight="1">
      <c r="A43" s="257" t="n">
        <v>46325.5</v>
      </c>
      <c r="B43" s="96" t="inlineStr">
        <is>
          <t>Weekday</t>
        </is>
      </c>
      <c r="C43" s="103" t="inlineStr">
        <is>
          <t>Payments &amp; release</t>
        </is>
      </c>
      <c r="D43" s="98"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98"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98" t="inlineStr">
        <is>
          <t>10 min + 105 min</t>
        </is>
      </c>
      <c r="G43" s="98" t="inlineStr">
        <is>
          <t>The named legal, payment, Beta, or release check passes, evidence is saved, and no promise conflicts with behaviour.</t>
        </is>
      </c>
      <c r="H43" s="99" t="inlineStr">
        <is>
          <t>Yes</t>
        </is>
      </c>
      <c r="I43" s="99" t="inlineStr">
        <is>
          <t>Not started</t>
        </is>
      </c>
      <c r="J43" s="98" t="inlineStr">
        <is>
          <t>Extra roadmap items for this day are on the 'Plan from 1 Oct' sheet.</t>
        </is>
      </c>
    </row>
    <row r="44" ht="168" customHeight="1">
      <c r="A44" s="257" t="n">
        <v>46326.5</v>
      </c>
      <c r="B44" s="100" t="inlineStr">
        <is>
          <t>Weekend</t>
        </is>
      </c>
      <c r="C44" s="103" t="inlineStr">
        <is>
          <t>Payments &amp; release</t>
        </is>
      </c>
      <c r="D44" s="98"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98" t="inlineStr">
        <is>
          <t>15 min + up to 3 h 45 min</t>
        </is>
      </c>
      <c r="G44" s="98" t="inlineStr">
        <is>
          <t>The named legal, payment, Beta, or release check passes, evidence is saved, and no promise conflicts with behaviour.</t>
        </is>
      </c>
      <c r="H44" s="99" t="inlineStr">
        <is>
          <t>Yes</t>
        </is>
      </c>
      <c r="I44" s="99" t="inlineStr">
        <is>
          <t>Not started</t>
        </is>
      </c>
      <c r="J44" s="98" t="inlineStr">
        <is>
          <t>Extra roadmap items for this day are on the 'Plan from 1 Oct' sheet.</t>
        </is>
      </c>
    </row>
    <row r="45" ht="168" customHeight="1">
      <c r="A45" s="257" t="n">
        <v>46327.5</v>
      </c>
      <c r="B45" s="100" t="inlineStr">
        <is>
          <t>Weekend</t>
        </is>
      </c>
      <c r="C45" s="104" t="inlineStr">
        <is>
          <t>Quiet release</t>
        </is>
      </c>
      <c r="D45" s="98"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98" t="inlineStr">
        <is>
          <t>15 min + up to 3 h 45 min</t>
        </is>
      </c>
      <c r="G45" s="98" t="inlineStr">
        <is>
          <t>One real purchase grants the correct access; save and export work; Beta is no longer public; existing testers stay safe; rollback is ready.</t>
        </is>
      </c>
      <c r="H45" s="99" t="inlineStr">
        <is>
          <t>Yes</t>
        </is>
      </c>
      <c r="I45" s="99" t="inlineStr">
        <is>
          <t>Not started</t>
        </is>
      </c>
      <c r="J45" s="98" t="inlineStr">
        <is>
          <t>Extra roadmap items for this day are on the 'Plan from 1 Oct' sheet.</t>
        </is>
      </c>
    </row>
    <row r="46" ht="168" customHeight="1">
      <c r="A46" s="258" t="n">
        <v>46328.5</v>
      </c>
      <c r="B46" s="106" t="inlineStr">
        <is>
          <t>Weekday</t>
        </is>
      </c>
      <c r="C46" s="107" t="inlineStr">
        <is>
          <t>Public launch</t>
        </is>
      </c>
      <c r="D46" s="108"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108"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108" t="inlineStr">
        <is>
          <t>10 min + 100 min</t>
        </is>
      </c>
      <c r="G46" s="108" t="inlineStr">
        <is>
          <t>Overnight health is clean, approved marketing is live, and payment, entitlement, analytics, and support monitoring are active.</t>
        </is>
      </c>
      <c r="H46" s="109" t="inlineStr">
        <is>
          <t>Yes</t>
        </is>
      </c>
      <c r="I46" s="109" t="inlineStr">
        <is>
          <t>Not started</t>
        </is>
      </c>
      <c r="J46" s="108" t="inlineStr">
        <is>
          <t>Extra roadmap items for this day are on the 'Plan from 1 Oct' sheet.</t>
        </is>
      </c>
    </row>
  </sheetData>
  <mergeCells count="4">
    <mergeCell ref="D6:J9"/>
    <mergeCell ref="D5:J5"/>
    <mergeCell ref="A3:J3"/>
    <mergeCell ref="A2:J2"/>
  </mergeCells>
  <conditionalFormatting sqref="I11:I46">
    <cfRule type="containsText" priority="1" operator="containsText" dxfId="0" text="Done"/>
    <cfRule type="containsText" priority="2" operator="containsText" dxfId="1" text="In progress"/>
    <cfRule type="containsText" priority="3" operator="containsText" dxfId="2" text="Blocked"/>
    <cfRule type="containsText" priority="4" operator="containsText" dxfId="3" text="Not started"/>
  </conditionalFormatting>
  <dataValidations count="1">
    <dataValidation sqref="I11:I46" showDropDown="0" showInputMessage="0" showErrorMessage="0" allowBlank="0" type="list">
      <formula1>"Not started,In progress,Blocked,Done"</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B7A78"/>
    <outlinePr summaryBelow="1" summaryRight="1"/>
    <pageSetUpPr/>
  </sheetPr>
  <dimension ref="A2:N51"/>
  <sheetViews>
    <sheetView showGridLines="0" workbookViewId="0">
      <pane ySplit="3" topLeftCell="A4" activePane="bottomLeft" state="frozen"/>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2">
      <c r="A2" s="1" t="inlineStr">
        <is>
          <t>SUPERSEDED for 7-29 Oct: use the 'Plan from 1 Oct' sheet. YOW launch calendar — at a glance</t>
        </is>
      </c>
    </row>
    <row r="3">
      <c r="A3" s="2" t="inlineStr">
        <is>
          <t>Weekdays ≤2 hours · weekends ≤4 hours · use Daily Guide for the full prompt and exact instructions</t>
        </is>
      </c>
    </row>
    <row r="5" ht="24" customHeight="1">
      <c r="A5" s="259" t="inlineStr">
        <is>
          <t>Week 1 · 2026-09-28 to 2026-10-04</t>
        </is>
      </c>
      <c r="B5" s="260" t="n"/>
      <c r="C5" s="260" t="n"/>
      <c r="D5" s="260" t="n"/>
      <c r="E5" s="260" t="n"/>
      <c r="F5" s="260" t="n"/>
      <c r="G5" s="260" t="n"/>
      <c r="H5" s="260" t="n"/>
      <c r="I5" s="260" t="n"/>
      <c r="J5" s="260" t="n"/>
      <c r="K5" s="260" t="n"/>
      <c r="L5" s="260" t="n"/>
      <c r="M5" s="260" t="n"/>
      <c r="N5" s="261" t="n"/>
    </row>
    <row r="6" ht="24" customHeight="1">
      <c r="A6" s="262" t="inlineStr">
        <is>
          <t>Mon 28 Sept</t>
        </is>
      </c>
      <c r="B6" s="261" t="n"/>
      <c r="C6" s="262" t="inlineStr">
        <is>
          <t>Tue 29 Sept</t>
        </is>
      </c>
      <c r="D6" s="261" t="n"/>
      <c r="E6" s="262" t="inlineStr">
        <is>
          <t>Wed 30 Sept</t>
        </is>
      </c>
      <c r="F6" s="261" t="n"/>
      <c r="G6" s="262" t="inlineStr">
        <is>
          <t>Thu 1 Oct</t>
        </is>
      </c>
      <c r="H6" s="261" t="n"/>
      <c r="I6" s="262" t="inlineStr">
        <is>
          <t>Fri 2 Oct</t>
        </is>
      </c>
      <c r="J6" s="261" t="n"/>
      <c r="K6" s="262" t="inlineStr">
        <is>
          <t>Sat 3 Oct</t>
        </is>
      </c>
      <c r="L6" s="261" t="n"/>
      <c r="M6" s="262" t="inlineStr">
        <is>
          <t>Sun 4 Oct</t>
        </is>
      </c>
      <c r="N6" s="261" t="n"/>
    </row>
    <row r="7" ht="26" customHeight="1">
      <c r="A7" s="26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236" t="n"/>
      <c r="C7" s="26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236" t="n"/>
      <c r="E7" s="26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236" t="n"/>
      <c r="G7" s="26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236" t="n"/>
      <c r="I7" s="263" t="inlineStr">
        <is>
          <t>AM — AI
Prepare the two-account/account-switch entitlement-isolation test and inspect all server-side entitlement paths.
PM / BLOCKS — YOU
Run the guided two-account test using designated test accounts only.
CAP: 10 min + 90 min</t>
        </is>
      </c>
      <c r="J7" s="236" t="n"/>
      <c r="K7" s="26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236" t="n"/>
      <c r="M7" s="264" t="inlineStr">
        <is>
          <t>AM — AI
Run export/import collision and full-account ownership checks; repair failures and assemble Data Safety Gate evidence.
PM / BLOCKS — YOU
Export, inspect, restore/import, and complete the Data Safety go/no-go review.
CAP: 15 min + up to 3 h 45 min</t>
        </is>
      </c>
      <c r="N7" s="236" t="n"/>
    </row>
    <row r="8" ht="26" customHeight="1">
      <c r="A8" s="237" t="n"/>
      <c r="B8" s="238" t="n"/>
      <c r="C8" s="237" t="n"/>
      <c r="D8" s="238" t="n"/>
      <c r="E8" s="237" t="n"/>
      <c r="F8" s="238" t="n"/>
      <c r="G8" s="237" t="n"/>
      <c r="H8" s="238" t="n"/>
      <c r="I8" s="237" t="n"/>
      <c r="J8" s="238" t="n"/>
      <c r="K8" s="237" t="n"/>
      <c r="L8" s="238" t="n"/>
      <c r="M8" s="237" t="n"/>
      <c r="N8" s="238" t="n"/>
    </row>
    <row r="9" ht="26" customHeight="1">
      <c r="A9" s="237" t="n"/>
      <c r="B9" s="238" t="n"/>
      <c r="C9" s="237" t="n"/>
      <c r="D9" s="238" t="n"/>
      <c r="E9" s="237" t="n"/>
      <c r="F9" s="238" t="n"/>
      <c r="G9" s="237" t="n"/>
      <c r="H9" s="238" t="n"/>
      <c r="I9" s="237" t="n"/>
      <c r="J9" s="238" t="n"/>
      <c r="K9" s="237" t="n"/>
      <c r="L9" s="238" t="n"/>
      <c r="M9" s="237" t="n"/>
      <c r="N9" s="238" t="n"/>
    </row>
    <row r="10" ht="26" customHeight="1">
      <c r="A10" s="237" t="n"/>
      <c r="B10" s="238" t="n"/>
      <c r="C10" s="237" t="n"/>
      <c r="D10" s="238" t="n"/>
      <c r="E10" s="237" t="n"/>
      <c r="F10" s="238" t="n"/>
      <c r="G10" s="237" t="n"/>
      <c r="H10" s="238" t="n"/>
      <c r="I10" s="237" t="n"/>
      <c r="J10" s="238" t="n"/>
      <c r="K10" s="237" t="n"/>
      <c r="L10" s="238" t="n"/>
      <c r="M10" s="237" t="n"/>
      <c r="N10" s="238" t="n"/>
    </row>
    <row r="11" ht="26" customHeight="1">
      <c r="A11" s="239" t="n"/>
      <c r="B11" s="241" t="n"/>
      <c r="C11" s="239" t="n"/>
      <c r="D11" s="241" t="n"/>
      <c r="E11" s="239" t="n"/>
      <c r="F11" s="241" t="n"/>
      <c r="G11" s="239" t="n"/>
      <c r="H11" s="241" t="n"/>
      <c r="I11" s="239" t="n"/>
      <c r="J11" s="241" t="n"/>
      <c r="K11" s="239" t="n"/>
      <c r="L11" s="241" t="n"/>
      <c r="M11" s="239" t="n"/>
      <c r="N11" s="241" t="n"/>
    </row>
    <row r="13" ht="24" customHeight="1">
      <c r="A13" s="265" t="inlineStr">
        <is>
          <t>Week 2 · 2026-10-05 to 2026-10-11</t>
        </is>
      </c>
      <c r="B13" s="260" t="n"/>
      <c r="C13" s="260" t="n"/>
      <c r="D13" s="260" t="n"/>
      <c r="E13" s="260" t="n"/>
      <c r="F13" s="260" t="n"/>
      <c r="G13" s="260" t="n"/>
      <c r="H13" s="260" t="n"/>
      <c r="I13" s="260" t="n"/>
      <c r="J13" s="260" t="n"/>
      <c r="K13" s="260" t="n"/>
      <c r="L13" s="260" t="n"/>
      <c r="M13" s="260" t="n"/>
      <c r="N13" s="261" t="n"/>
    </row>
    <row r="14" ht="24" customHeight="1">
      <c r="A14" s="262" t="inlineStr">
        <is>
          <t>Mon 5 Oct</t>
        </is>
      </c>
      <c r="B14" s="261" t="n"/>
      <c r="C14" s="262" t="inlineStr">
        <is>
          <t>Tue 6 Oct</t>
        </is>
      </c>
      <c r="D14" s="261" t="n"/>
      <c r="E14" s="262" t="inlineStr">
        <is>
          <t>Wed 7 Oct</t>
        </is>
      </c>
      <c r="F14" s="261" t="n"/>
      <c r="G14" s="262" t="inlineStr">
        <is>
          <t>Thu 8 Oct</t>
        </is>
      </c>
      <c r="H14" s="261" t="n"/>
      <c r="I14" s="262" t="inlineStr">
        <is>
          <t>Fri 9 Oct</t>
        </is>
      </c>
      <c r="J14" s="261" t="n"/>
      <c r="K14" s="262" t="inlineStr">
        <is>
          <t>Sat 10 Oct</t>
        </is>
      </c>
      <c r="L14" s="261" t="n"/>
      <c r="M14" s="262" t="inlineStr">
        <is>
          <t>Sun 11 Oct</t>
        </is>
      </c>
      <c r="N14" s="261" t="n"/>
    </row>
    <row r="15" ht="26" customHeight="1">
      <c r="A15" s="263" t="inlineStr">
        <is>
          <t>AM — AI
Audit and live-check AI proxy, email endpoints, CORS, durable rate limits, token rejection, and deployed security headers.
PM / BLOCKS — YOU
Follow the safe browser/dashboard checks and record only pass/fail evidence.
CAP: 10 min + 90 min</t>
        </is>
      </c>
      <c r="B15" s="236" t="n"/>
      <c r="C15" s="263" t="inlineStr">
        <is>
          <t>AM — AI
Complete private-media RLS and storage-accounting verification, including replacement and deletion cleanup.
PM / BLOCKS — YOU
Upload, replace, delete, and verify one disposable image and its storage figure.
CAP: 10 min + 75 min</t>
        </is>
      </c>
      <c r="D15" s="236" t="n"/>
      <c r="E15" s="263" t="inlineStr">
        <is>
          <t>AM — AI
Finish the cloud-expiry/inactive-account lifecycle implementation and tests: notices, Export All, grace, archive/delete, and cloud-write shutdown.
PM / BLOCKS — YOU
Review the customer-visible sequence and approve the exact wording.
CAP: 10 min + 75 min</t>
        </is>
      </c>
      <c r="F15" s="236" t="n"/>
      <c r="G15" s="26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236" t="n"/>
      <c r="I15" s="26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236" t="n"/>
      <c r="K15" s="264" t="inlineStr">
        <is>
          <t>AM — AI
Run the entire data-safety/auth/export matrix and fix failures in priority order.
PM / BLOCKS — YOU
Perform the remaining real-account checks in two focused blocks; stop at four hours.
CAP: 15 min + up to 3 h 45 min</t>
        </is>
      </c>
      <c r="L15" s="236" t="n"/>
      <c r="M15" s="264" t="inlineStr">
        <is>
          <t>AM — AI
Use the day as the hard-gate repair buffer, rerun the whole matrix, and produce a signed-off evidence summary.
PM / BLOCKS — YOU
Review the summary. Mark the gate Done only if no data-loss/auth/export blocker remains.
CAP: 15 min + up to 3 h 45 min</t>
        </is>
      </c>
      <c r="N15" s="236" t="n"/>
    </row>
    <row r="16" ht="26" customHeight="1">
      <c r="A16" s="237" t="n"/>
      <c r="B16" s="238" t="n"/>
      <c r="C16" s="237" t="n"/>
      <c r="D16" s="238" t="n"/>
      <c r="E16" s="237" t="n"/>
      <c r="F16" s="238" t="n"/>
      <c r="G16" s="237" t="n"/>
      <c r="H16" s="238" t="n"/>
      <c r="I16" s="237" t="n"/>
      <c r="J16" s="238" t="n"/>
      <c r="K16" s="237" t="n"/>
      <c r="L16" s="238" t="n"/>
      <c r="M16" s="237" t="n"/>
      <c r="N16" s="238" t="n"/>
    </row>
    <row r="17" ht="26" customHeight="1">
      <c r="A17" s="237" t="n"/>
      <c r="B17" s="238" t="n"/>
      <c r="C17" s="237" t="n"/>
      <c r="D17" s="238" t="n"/>
      <c r="E17" s="237" t="n"/>
      <c r="F17" s="238" t="n"/>
      <c r="G17" s="237" t="n"/>
      <c r="H17" s="238" t="n"/>
      <c r="I17" s="237" t="n"/>
      <c r="J17" s="238" t="n"/>
      <c r="K17" s="237" t="n"/>
      <c r="L17" s="238" t="n"/>
      <c r="M17" s="237" t="n"/>
      <c r="N17" s="238" t="n"/>
    </row>
    <row r="18" ht="26" customHeight="1">
      <c r="A18" s="237" t="n"/>
      <c r="B18" s="238" t="n"/>
      <c r="C18" s="237" t="n"/>
      <c r="D18" s="238" t="n"/>
      <c r="E18" s="237" t="n"/>
      <c r="F18" s="238" t="n"/>
      <c r="G18" s="237" t="n"/>
      <c r="H18" s="238" t="n"/>
      <c r="I18" s="237" t="n"/>
      <c r="J18" s="238" t="n"/>
      <c r="K18" s="237" t="n"/>
      <c r="L18" s="238" t="n"/>
      <c r="M18" s="237" t="n"/>
      <c r="N18" s="238" t="n"/>
    </row>
    <row r="19" ht="26" customHeight="1">
      <c r="A19" s="239" t="n"/>
      <c r="B19" s="241" t="n"/>
      <c r="C19" s="239" t="n"/>
      <c r="D19" s="241" t="n"/>
      <c r="E19" s="239" t="n"/>
      <c r="F19" s="241" t="n"/>
      <c r="G19" s="239" t="n"/>
      <c r="H19" s="241" t="n"/>
      <c r="I19" s="239" t="n"/>
      <c r="J19" s="241" t="n"/>
      <c r="K19" s="239" t="n"/>
      <c r="L19" s="241" t="n"/>
      <c r="M19" s="239" t="n"/>
      <c r="N19" s="241" t="n"/>
    </row>
    <row r="21" ht="24" customHeight="1">
      <c r="A21" s="266" t="inlineStr">
        <is>
          <t>Week 3 · 2026-10-12 to 2026-10-18</t>
        </is>
      </c>
      <c r="B21" s="260" t="n"/>
      <c r="C21" s="260" t="n"/>
      <c r="D21" s="260" t="n"/>
      <c r="E21" s="260" t="n"/>
      <c r="F21" s="260" t="n"/>
      <c r="G21" s="260" t="n"/>
      <c r="H21" s="260" t="n"/>
      <c r="I21" s="260" t="n"/>
      <c r="J21" s="260" t="n"/>
      <c r="K21" s="260" t="n"/>
      <c r="L21" s="260" t="n"/>
      <c r="M21" s="260" t="n"/>
      <c r="N21" s="261" t="n"/>
    </row>
    <row r="22" ht="24" customHeight="1">
      <c r="A22" s="262" t="inlineStr">
        <is>
          <t>Mon 12 Oct</t>
        </is>
      </c>
      <c r="B22" s="261" t="n"/>
      <c r="C22" s="262" t="inlineStr">
        <is>
          <t>Tue 13 Oct</t>
        </is>
      </c>
      <c r="D22" s="261" t="n"/>
      <c r="E22" s="262" t="inlineStr">
        <is>
          <t>Wed 14 Oct</t>
        </is>
      </c>
      <c r="F22" s="261" t="n"/>
      <c r="G22" s="262" t="inlineStr">
        <is>
          <t>Thu 15 Oct</t>
        </is>
      </c>
      <c r="H22" s="261" t="n"/>
      <c r="I22" s="262" t="inlineStr">
        <is>
          <t>Fri 16 Oct</t>
        </is>
      </c>
      <c r="J22" s="261" t="n"/>
      <c r="K22" s="262" t="inlineStr">
        <is>
          <t>Sat 17 Oct</t>
        </is>
      </c>
      <c r="L22" s="261" t="n"/>
      <c r="M22" s="262" t="inlineStr">
        <is>
          <t>Sun 18 Oct</t>
        </is>
      </c>
      <c r="N22" s="261" t="n"/>
    </row>
    <row r="23" ht="26" customHeight="1">
      <c r="A23" s="263" t="inlineStr">
        <is>
          <t>AM — AI
Implement/finish the full signed-in Tauri project workspace and run desktop unit/Rust/build checks.
PM / BLOCKS — YOU
Open the Mac test build and verify login, library, project navigation, and writing.
CAP: 10 min + 100 min</t>
        </is>
      </c>
      <c r="B23" s="236" t="n"/>
      <c r="C23" s="263" t="inlineStr">
        <is>
          <t>AM — AI
Stress the desktop vault: write-behind durability, quit/force-quit, snapshot, restore, relocation, integrity, and disk-error handling.
PM / BLOCKS — YOU
Run the guided vault persistence and restore test with an isolated test vault.
CAP: 10 min + 100 min</t>
        </is>
      </c>
      <c r="D23" s="236" t="n"/>
      <c r="E23" s="263" t="inlineStr">
        <is>
          <t>AM — AI
Verify and repair native ZIP/DOCX/PDF/PNG save dialogs and file contents in packaged desktop builds.
PM / BLOCKS — YOU
Save and open each format from the packaged Mac app.
CAP: 10 min + 90 min</t>
        </is>
      </c>
      <c r="F23" s="236" t="n"/>
      <c r="G23" s="263" t="inlineStr">
        <is>
          <t>AM — AI
Finish Local Mode/lapse/renewal merge logic, cold-start retry, conflict surfacing, and no-cloud-write verification.
PM / BLOCKS — YOU
Run the guided lapse → web edit → renewal → desktop merge scenario.
CAP: 10 min + 100 min</t>
        </is>
      </c>
      <c r="H23" s="236" t="n"/>
      <c r="I23" s="263" t="inlineStr">
        <is>
          <t>AM — AI
Finalise updater manifests, download entitlement gating, installer URLs, hashes, provenance, and unsigned-app instructions.
PM / BLOCKS — YOU
Review the download page and Mac instructions as a customer.
CAP: 10 min + 75 min</t>
        </is>
      </c>
      <c r="J23" s="236" t="n"/>
      <c r="K23" s="264" t="inlineStr">
        <is>
          <t>AM — AI
Produce and inspect the final Mac candidate; drive clean-machine install, workspace, export, restore, updater, and uninstall acceptance.
PM / BLOCKS — YOU
Complete the clean/test Mac checklist in two blocks.
CAP: 15 min + up to 3 h 45 min</t>
        </is>
      </c>
      <c r="L23" s="236" t="n"/>
      <c r="M23" s="26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236" t="n"/>
    </row>
    <row r="24" ht="26" customHeight="1">
      <c r="A24" s="237" t="n"/>
      <c r="B24" s="238" t="n"/>
      <c r="C24" s="237" t="n"/>
      <c r="D24" s="238" t="n"/>
      <c r="E24" s="237" t="n"/>
      <c r="F24" s="238" t="n"/>
      <c r="G24" s="237" t="n"/>
      <c r="H24" s="238" t="n"/>
      <c r="I24" s="237" t="n"/>
      <c r="J24" s="238" t="n"/>
      <c r="K24" s="237" t="n"/>
      <c r="L24" s="238" t="n"/>
      <c r="M24" s="237" t="n"/>
      <c r="N24" s="238" t="n"/>
    </row>
    <row r="25" ht="26" customHeight="1">
      <c r="A25" s="237" t="n"/>
      <c r="B25" s="238" t="n"/>
      <c r="C25" s="237" t="n"/>
      <c r="D25" s="238" t="n"/>
      <c r="E25" s="237" t="n"/>
      <c r="F25" s="238" t="n"/>
      <c r="G25" s="237" t="n"/>
      <c r="H25" s="238" t="n"/>
      <c r="I25" s="237" t="n"/>
      <c r="J25" s="238" t="n"/>
      <c r="K25" s="237" t="n"/>
      <c r="L25" s="238" t="n"/>
      <c r="M25" s="237" t="n"/>
      <c r="N25" s="238" t="n"/>
    </row>
    <row r="26" ht="26" customHeight="1">
      <c r="A26" s="237" t="n"/>
      <c r="B26" s="238" t="n"/>
      <c r="C26" s="237" t="n"/>
      <c r="D26" s="238" t="n"/>
      <c r="E26" s="237" t="n"/>
      <c r="F26" s="238" t="n"/>
      <c r="G26" s="237" t="n"/>
      <c r="H26" s="238" t="n"/>
      <c r="I26" s="237" t="n"/>
      <c r="J26" s="238" t="n"/>
      <c r="K26" s="237" t="n"/>
      <c r="L26" s="238" t="n"/>
      <c r="M26" s="237" t="n"/>
      <c r="N26" s="238" t="n"/>
    </row>
    <row r="27" ht="26" customHeight="1">
      <c r="A27" s="239" t="n"/>
      <c r="B27" s="241" t="n"/>
      <c r="C27" s="239" t="n"/>
      <c r="D27" s="241" t="n"/>
      <c r="E27" s="239" t="n"/>
      <c r="F27" s="241" t="n"/>
      <c r="G27" s="239" t="n"/>
      <c r="H27" s="241" t="n"/>
      <c r="I27" s="239" t="n"/>
      <c r="J27" s="241" t="n"/>
      <c r="K27" s="239" t="n"/>
      <c r="L27" s="241" t="n"/>
      <c r="M27" s="239" t="n"/>
      <c r="N27" s="241" t="n"/>
    </row>
    <row r="29" ht="24" customHeight="1">
      <c r="A29" s="267" t="inlineStr">
        <is>
          <t>Week 4 · 2026-10-19 to 2026-10-25</t>
        </is>
      </c>
      <c r="B29" s="260" t="n"/>
      <c r="C29" s="260" t="n"/>
      <c r="D29" s="260" t="n"/>
      <c r="E29" s="260" t="n"/>
      <c r="F29" s="260" t="n"/>
      <c r="G29" s="260" t="n"/>
      <c r="H29" s="260" t="n"/>
      <c r="I29" s="260" t="n"/>
      <c r="J29" s="260" t="n"/>
      <c r="K29" s="260" t="n"/>
      <c r="L29" s="260" t="n"/>
      <c r="M29" s="260" t="n"/>
      <c r="N29" s="261" t="n"/>
    </row>
    <row r="30" ht="24" customHeight="1">
      <c r="A30" s="262" t="inlineStr">
        <is>
          <t>Mon 19 Oct</t>
        </is>
      </c>
      <c r="B30" s="261" t="n"/>
      <c r="C30" s="262" t="inlineStr">
        <is>
          <t>Tue 20 Oct</t>
        </is>
      </c>
      <c r="D30" s="261" t="n"/>
      <c r="E30" s="262" t="inlineStr">
        <is>
          <t>Wed 21 Oct</t>
        </is>
      </c>
      <c r="F30" s="261" t="n"/>
      <c r="G30" s="262" t="inlineStr">
        <is>
          <t>Thu 22 Oct</t>
        </is>
      </c>
      <c r="H30" s="261" t="n"/>
      <c r="I30" s="262" t="inlineStr">
        <is>
          <t>Fri 23 Oct</t>
        </is>
      </c>
      <c r="J30" s="261" t="n"/>
      <c r="K30" s="262" t="inlineStr">
        <is>
          <t>Sat 24 Oct</t>
        </is>
      </c>
      <c r="L30" s="261" t="n"/>
      <c r="M30" s="262" t="inlineStr">
        <is>
          <t>Sun 25 Oct</t>
        </is>
      </c>
      <c r="N30" s="261" t="n"/>
    </row>
    <row r="31" ht="26" customHeight="1">
      <c r="A31" s="263" t="inlineStr">
        <is>
          <t>AM — AI
Run and repair complete Novella and Short Story workflow, defaults, persistence, and export acceptance.
PM / BLOCKS — YOU
Perform the two guided create → write → export journeys.
CAP: 10 min + 100 min</t>
        </is>
      </c>
      <c r="B31" s="236" t="n"/>
      <c r="C31" s="263" t="inlineStr">
        <is>
          <t>AM — AI
Run and repair complete D&amp;D and TTRPG prep/recap, Character Builder, map/default, AI-context, and export acceptance.
PM / BLOCKS — YOU
Perform the two guided campaign journeys using disposable campaigns.
CAP: 10 min + 100 min</t>
        </is>
      </c>
      <c r="D31" s="236" t="n"/>
      <c r="E31" s="263" t="inlineStr">
        <is>
          <t>AM — AI
Run and repair Novel and Comic live-cloud, large-project, and complete export acceptance.
PM / BLOCKS — YOU
Perform the guided Novel and Comic journeys.
CAP: 10 min + 100 min</t>
        </is>
      </c>
      <c r="F31" s="236" t="n"/>
      <c r="G31" s="263" t="inlineStr">
        <is>
          <t>AM — AI
Run the full Map Builder owner checklist and repair interaction, layer, persistence, responsive, and export defects.
PM / BLOCKS — YOU
Complete the guided map workflow and inspect its exports.
CAP: 10 min + 100 min</t>
        </is>
      </c>
      <c r="H31" s="236" t="n"/>
      <c r="I31" s="26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236" t="n"/>
      <c r="K31" s="264" t="inlineStr">
        <is>
          <t>AM — AI
Run realistic large-project performance plus 375/768/desktop, keyboard, focus, contrast, real-iPhone, and theme acceptance; fix blockers.
PM / BLOCKS — YOU
Complete device/accessibility tests in two focused blocks.
CAP: 15 min + up to 3 h 45 min</t>
        </is>
      </c>
      <c r="L31" s="236" t="n"/>
      <c r="M31" s="26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236" t="n"/>
    </row>
    <row r="32" ht="26" customHeight="1">
      <c r="A32" s="237" t="n"/>
      <c r="B32" s="238" t="n"/>
      <c r="C32" s="237" t="n"/>
      <c r="D32" s="238" t="n"/>
      <c r="E32" s="237" t="n"/>
      <c r="F32" s="238" t="n"/>
      <c r="G32" s="237" t="n"/>
      <c r="H32" s="238" t="n"/>
      <c r="I32" s="237" t="n"/>
      <c r="J32" s="238" t="n"/>
      <c r="K32" s="237" t="n"/>
      <c r="L32" s="238" t="n"/>
      <c r="M32" s="237" t="n"/>
      <c r="N32" s="238" t="n"/>
    </row>
    <row r="33" ht="26" customHeight="1">
      <c r="A33" s="237" t="n"/>
      <c r="B33" s="238" t="n"/>
      <c r="C33" s="237" t="n"/>
      <c r="D33" s="238" t="n"/>
      <c r="E33" s="237" t="n"/>
      <c r="F33" s="238" t="n"/>
      <c r="G33" s="237" t="n"/>
      <c r="H33" s="238" t="n"/>
      <c r="I33" s="237" t="n"/>
      <c r="J33" s="238" t="n"/>
      <c r="K33" s="237" t="n"/>
      <c r="L33" s="238" t="n"/>
      <c r="M33" s="237" t="n"/>
      <c r="N33" s="238" t="n"/>
    </row>
    <row r="34" ht="26" customHeight="1">
      <c r="A34" s="237" t="n"/>
      <c r="B34" s="238" t="n"/>
      <c r="C34" s="237" t="n"/>
      <c r="D34" s="238" t="n"/>
      <c r="E34" s="237" t="n"/>
      <c r="F34" s="238" t="n"/>
      <c r="G34" s="237" t="n"/>
      <c r="H34" s="238" t="n"/>
      <c r="I34" s="237" t="n"/>
      <c r="J34" s="238" t="n"/>
      <c r="K34" s="237" t="n"/>
      <c r="L34" s="238" t="n"/>
      <c r="M34" s="237" t="n"/>
      <c r="N34" s="238" t="n"/>
    </row>
    <row r="35" ht="26" customHeight="1">
      <c r="A35" s="239" t="n"/>
      <c r="B35" s="241" t="n"/>
      <c r="C35" s="239" t="n"/>
      <c r="D35" s="241" t="n"/>
      <c r="E35" s="239" t="n"/>
      <c r="F35" s="241" t="n"/>
      <c r="G35" s="239" t="n"/>
      <c r="H35" s="241" t="n"/>
      <c r="I35" s="239" t="n"/>
      <c r="J35" s="241" t="n"/>
      <c r="K35" s="239" t="n"/>
      <c r="L35" s="241" t="n"/>
      <c r="M35" s="239" t="n"/>
      <c r="N35" s="241" t="n"/>
    </row>
    <row r="37" ht="24" customHeight="1">
      <c r="A37" s="268" t="inlineStr">
        <is>
          <t>Week 5 · 2026-10-26 to 2026-11-01</t>
        </is>
      </c>
      <c r="B37" s="260" t="n"/>
      <c r="C37" s="260" t="n"/>
      <c r="D37" s="260" t="n"/>
      <c r="E37" s="260" t="n"/>
      <c r="F37" s="260" t="n"/>
      <c r="G37" s="260" t="n"/>
      <c r="H37" s="260" t="n"/>
      <c r="I37" s="260" t="n"/>
      <c r="J37" s="260" t="n"/>
      <c r="K37" s="260" t="n"/>
      <c r="L37" s="260" t="n"/>
      <c r="M37" s="260" t="n"/>
      <c r="N37" s="261" t="n"/>
    </row>
    <row r="38" ht="24" customHeight="1">
      <c r="A38" s="262" t="inlineStr">
        <is>
          <t>Mon 26 Oct</t>
        </is>
      </c>
      <c r="B38" s="261" t="n"/>
      <c r="C38" s="262" t="inlineStr">
        <is>
          <t>Tue 27 Oct</t>
        </is>
      </c>
      <c r="D38" s="261" t="n"/>
      <c r="E38" s="262" t="inlineStr">
        <is>
          <t>Wed 28 Oct</t>
        </is>
      </c>
      <c r="F38" s="261" t="n"/>
      <c r="G38" s="262" t="inlineStr">
        <is>
          <t>Thu 29 Oct</t>
        </is>
      </c>
      <c r="H38" s="261" t="n"/>
      <c r="I38" s="262" t="inlineStr">
        <is>
          <t>Fri 30 Oct</t>
        </is>
      </c>
      <c r="J38" s="261" t="n"/>
      <c r="K38" s="262" t="inlineStr">
        <is>
          <t>Sat 31 Oct</t>
        </is>
      </c>
      <c r="L38" s="261" t="n"/>
      <c r="M38" s="262" t="inlineStr">
        <is>
          <t>Sun 1 Nov</t>
        </is>
      </c>
      <c r="N38" s="261" t="n"/>
    </row>
    <row r="39" ht="26" customHeight="1">
      <c r="A39" s="26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236" t="n"/>
      <c r="C39" s="26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236" t="n"/>
      <c r="E39" s="263" t="inlineStr">
        <is>
          <t>AM — AI
Drive the full Stripe test-mode journey one step at a time: Monthly, Lifetime, Founder, renewal, cancel/failure, replay, refund, and dispute.
PM / BLOCKS — YOU
Complete guided test payments and verify app access after each event.
CAP: 10 min + 110 min</t>
        </is>
      </c>
      <c r="F39" s="236" t="n"/>
      <c r="G39" s="26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236" t="n"/>
      <c r="I39" s="263" t="inlineStr">
        <is>
          <t>AM — AI
Freeze Release Candidate 1; run full automated/browser/Rust/build/security/marketing checks and produce the final go/no-go packet.
PM / BLOCKS — YOU
Perform one 60-minute customer smoke test and make the formal go/no-go decision.
CAP: 10 min + 105 min</t>
        </is>
      </c>
      <c r="J39" s="236" t="n"/>
      <c r="K39" s="26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236" t="n"/>
      <c r="M39" s="26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236" t="n"/>
    </row>
    <row r="40" ht="26" customHeight="1">
      <c r="A40" s="237" t="n"/>
      <c r="B40" s="238" t="n"/>
      <c r="C40" s="237" t="n"/>
      <c r="D40" s="238" t="n"/>
      <c r="E40" s="237" t="n"/>
      <c r="F40" s="238" t="n"/>
      <c r="G40" s="237" t="n"/>
      <c r="H40" s="238" t="n"/>
      <c r="I40" s="237" t="n"/>
      <c r="J40" s="238" t="n"/>
      <c r="K40" s="237" t="n"/>
      <c r="L40" s="238" t="n"/>
      <c r="M40" s="237" t="n"/>
      <c r="N40" s="238" t="n"/>
    </row>
    <row r="41" ht="26" customHeight="1">
      <c r="A41" s="237" t="n"/>
      <c r="B41" s="238" t="n"/>
      <c r="C41" s="237" t="n"/>
      <c r="D41" s="238" t="n"/>
      <c r="E41" s="237" t="n"/>
      <c r="F41" s="238" t="n"/>
      <c r="G41" s="237" t="n"/>
      <c r="H41" s="238" t="n"/>
      <c r="I41" s="237" t="n"/>
      <c r="J41" s="238" t="n"/>
      <c r="K41" s="237" t="n"/>
      <c r="L41" s="238" t="n"/>
      <c r="M41" s="237" t="n"/>
      <c r="N41" s="238" t="n"/>
    </row>
    <row r="42" ht="26" customHeight="1">
      <c r="A42" s="237" t="n"/>
      <c r="B42" s="238" t="n"/>
      <c r="C42" s="237" t="n"/>
      <c r="D42" s="238" t="n"/>
      <c r="E42" s="237" t="n"/>
      <c r="F42" s="238" t="n"/>
      <c r="G42" s="237" t="n"/>
      <c r="H42" s="238" t="n"/>
      <c r="I42" s="237" t="n"/>
      <c r="J42" s="238" t="n"/>
      <c r="K42" s="237" t="n"/>
      <c r="L42" s="238" t="n"/>
      <c r="M42" s="237" t="n"/>
      <c r="N42" s="238" t="n"/>
    </row>
    <row r="43" ht="26" customHeight="1">
      <c r="A43" s="239" t="n"/>
      <c r="B43" s="241" t="n"/>
      <c r="C43" s="239" t="n"/>
      <c r="D43" s="241" t="n"/>
      <c r="E43" s="239" t="n"/>
      <c r="F43" s="241" t="n"/>
      <c r="G43" s="239" t="n"/>
      <c r="H43" s="241" t="n"/>
      <c r="I43" s="239" t="n"/>
      <c r="J43" s="241" t="n"/>
      <c r="K43" s="239" t="n"/>
      <c r="L43" s="241" t="n"/>
      <c r="M43" s="239" t="n"/>
      <c r="N43" s="241" t="n"/>
    </row>
    <row r="45" ht="24" customHeight="1">
      <c r="A45" s="269" t="inlineStr">
        <is>
          <t>Week 6 · 2026-11-02 to 2026-11-02</t>
        </is>
      </c>
      <c r="B45" s="260" t="n"/>
      <c r="C45" s="260" t="n"/>
      <c r="D45" s="260" t="n"/>
      <c r="E45" s="260" t="n"/>
      <c r="F45" s="260" t="n"/>
      <c r="G45" s="260" t="n"/>
      <c r="H45" s="260" t="n"/>
      <c r="I45" s="260" t="n"/>
      <c r="J45" s="260" t="n"/>
      <c r="K45" s="260" t="n"/>
      <c r="L45" s="260" t="n"/>
      <c r="M45" s="260" t="n"/>
      <c r="N45" s="261" t="n"/>
    </row>
    <row r="46" ht="24" customHeight="1">
      <c r="A46" s="262" t="inlineStr">
        <is>
          <t>Mon 2 Nov</t>
        </is>
      </c>
      <c r="B46" s="261" t="n"/>
      <c r="C46" s="262" t="n"/>
      <c r="D46" s="261" t="n"/>
      <c r="E46" s="262" t="n"/>
      <c r="F46" s="261" t="n"/>
      <c r="G46" s="262" t="n"/>
      <c r="H46" s="261" t="n"/>
      <c r="I46" s="262" t="n"/>
      <c r="J46" s="261" t="n"/>
      <c r="K46" s="262" t="n"/>
      <c r="L46" s="261" t="n"/>
      <c r="M46" s="262" t="n"/>
      <c r="N46" s="261" t="n"/>
    </row>
    <row r="47" ht="26" customHeight="1">
      <c r="A47" s="26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236" t="n"/>
      <c r="C47" s="270" t="n"/>
      <c r="D47" s="236" t="n"/>
      <c r="E47" s="270" t="n"/>
      <c r="F47" s="236" t="n"/>
      <c r="G47" s="270" t="n"/>
      <c r="H47" s="236" t="n"/>
      <c r="I47" s="270" t="n"/>
      <c r="J47" s="236" t="n"/>
      <c r="K47" s="270" t="n"/>
      <c r="L47" s="236" t="n"/>
      <c r="M47" s="270" t="n"/>
      <c r="N47" s="236" t="n"/>
    </row>
    <row r="48" ht="26" customHeight="1">
      <c r="A48" s="237" t="n"/>
      <c r="B48" s="238" t="n"/>
      <c r="C48" s="237" t="n"/>
      <c r="D48" s="238" t="n"/>
      <c r="E48" s="237" t="n"/>
      <c r="F48" s="238" t="n"/>
      <c r="G48" s="237" t="n"/>
      <c r="H48" s="238" t="n"/>
      <c r="I48" s="237" t="n"/>
      <c r="J48" s="238" t="n"/>
      <c r="K48" s="237" t="n"/>
      <c r="L48" s="238" t="n"/>
      <c r="M48" s="237" t="n"/>
      <c r="N48" s="238" t="n"/>
    </row>
    <row r="49" ht="26" customHeight="1">
      <c r="A49" s="237" t="n"/>
      <c r="B49" s="238" t="n"/>
      <c r="C49" s="237" t="n"/>
      <c r="D49" s="238" t="n"/>
      <c r="E49" s="237" t="n"/>
      <c r="F49" s="238" t="n"/>
      <c r="G49" s="237" t="n"/>
      <c r="H49" s="238" t="n"/>
      <c r="I49" s="237" t="n"/>
      <c r="J49" s="238" t="n"/>
      <c r="K49" s="237" t="n"/>
      <c r="L49" s="238" t="n"/>
      <c r="M49" s="237" t="n"/>
      <c r="N49" s="238" t="n"/>
    </row>
    <row r="50" ht="26" customHeight="1">
      <c r="A50" s="237" t="n"/>
      <c r="B50" s="238" t="n"/>
      <c r="C50" s="237" t="n"/>
      <c r="D50" s="238" t="n"/>
      <c r="E50" s="237" t="n"/>
      <c r="F50" s="238" t="n"/>
      <c r="G50" s="237" t="n"/>
      <c r="H50" s="238" t="n"/>
      <c r="I50" s="237" t="n"/>
      <c r="J50" s="238" t="n"/>
      <c r="K50" s="237" t="n"/>
      <c r="L50" s="238" t="n"/>
      <c r="M50" s="237" t="n"/>
      <c r="N50" s="238" t="n"/>
    </row>
    <row r="51" ht="26" customHeight="1">
      <c r="A51" s="239" t="n"/>
      <c r="B51" s="241" t="n"/>
      <c r="C51" s="239" t="n"/>
      <c r="D51" s="241" t="n"/>
      <c r="E51" s="239" t="n"/>
      <c r="F51" s="241" t="n"/>
      <c r="G51" s="239" t="n"/>
      <c r="H51" s="241" t="n"/>
      <c r="I51" s="239" t="n"/>
      <c r="J51" s="241" t="n"/>
      <c r="K51" s="239" t="n"/>
      <c r="L51" s="241" t="n"/>
      <c r="M51" s="239" t="n"/>
      <c r="N51" s="24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ageMargins left="0.7" right="0.7" top="0.75" bottom="0.75" header="0.3" footer="0.3"/>
</worksheet>
</file>

<file path=xl/worksheets/sheet6.xml><?xml version="1.0" encoding="utf-8"?>
<worksheet xmlns="http://schemas.openxmlformats.org/spreadsheetml/2006/main">
  <sheetPr>
    <tabColor rgb="FF7B8794"/>
    <outlinePr summaryBelow="1" summaryRight="1"/>
    <pageSetUpPr/>
  </sheetPr>
  <dimension ref="A2:C22"/>
  <sheetViews>
    <sheetView showGridLines="0" workbookViewId="0">
      <pane ySplit="5" topLeftCell="A6" activePane="bottomLeft" state="frozen"/>
      <selection activeCell="A1" sqref="A1"/>
    </sheetView>
  </sheetViews>
  <sheetFormatPr baseColWidth="8" defaultRowHeight="15"/>
  <cols>
    <col width="25" customWidth="1" min="1" max="1"/>
    <col width="65" customWidth="1" min="2" max="2"/>
    <col width="65" customWidth="1" min="3" max="3"/>
  </cols>
  <sheetData>
    <row r="2">
      <c r="A2" s="1" t="inlineStr">
        <is>
          <t>Plain-English glossary</t>
        </is>
      </c>
    </row>
    <row r="3">
      <c r="A3" s="2" t="inlineStr">
        <is>
          <t>You are not expected to memorise these words. Look here whenever the plan uses one you do not know.</t>
        </is>
      </c>
    </row>
    <row r="5">
      <c r="A5" s="225" t="inlineStr">
        <is>
          <t>Term</t>
        </is>
      </c>
      <c r="B5" s="225" t="inlineStr">
        <is>
          <t>What it means</t>
        </is>
      </c>
      <c r="C5" s="225" t="inlineStr">
        <is>
          <t>Why you care</t>
        </is>
      </c>
    </row>
    <row r="6" ht="48" customHeight="1">
      <c r="A6" s="232" t="inlineStr">
        <is>
          <t>AI handoff</t>
        </is>
      </c>
      <c r="B6" s="232" t="inlineStr">
        <is>
          <t>The morning prompt pasted into Codex so it can do technical work while you are unavailable.</t>
        </is>
      </c>
      <c r="C6" s="232" t="inlineStr">
        <is>
          <t>It turns a few morning minutes into a prepared evening test.</t>
        </is>
      </c>
    </row>
    <row r="7" ht="48" customHeight="1">
      <c r="A7" s="98" t="inlineStr">
        <is>
          <t>Scope freeze</t>
        </is>
      </c>
      <c r="B7" s="98" t="inlineStr">
        <is>
          <t>No new launch features; only work needed to make the agreed product safe and honest.</t>
        </is>
      </c>
      <c r="C7" s="98" t="inlineStr">
        <is>
          <t>It protects the target from nonessential ideas.</t>
        </is>
      </c>
    </row>
    <row r="8" ht="48" customHeight="1">
      <c r="A8" s="98" t="inlineStr">
        <is>
          <t>QA</t>
        </is>
      </c>
      <c r="B8" s="98" t="inlineStr">
        <is>
          <t>Deliberately testing the product and recording what passed or failed.</t>
        </is>
      </c>
      <c r="C8" s="98" t="inlineStr">
        <is>
          <t>It prevents customers discovering serious problems after paying.</t>
        </is>
      </c>
    </row>
    <row r="9" ht="48" customHeight="1">
      <c r="A9" s="98" t="inlineStr">
        <is>
          <t>Smoke test</t>
        </is>
      </c>
      <c r="B9" s="98" t="inlineStr">
        <is>
          <t>A short critical-path test: sign in, open, write, save, and export.</t>
        </is>
      </c>
      <c r="C9" s="98" t="inlineStr">
        <is>
          <t>If it fails, deeper work pauses until basics are repaired.</t>
        </is>
      </c>
    </row>
    <row r="10" ht="48" customHeight="1">
      <c r="A10" s="98" t="inlineStr">
        <is>
          <t>Production</t>
        </is>
      </c>
      <c r="B10" s="98" t="inlineStr">
        <is>
          <t>The live YOW service and real customer data.</t>
        </is>
      </c>
      <c r="C10" s="98" t="inlineStr">
        <is>
          <t>Actions here can affect real people.</t>
        </is>
      </c>
    </row>
    <row r="11" ht="48" customHeight="1">
      <c r="A11" s="98" t="inlineStr">
        <is>
          <t>Database migration</t>
        </is>
      </c>
      <c r="B11" s="98" t="inlineStr">
        <is>
          <t>A versioned instruction changing database structure, functions, or security rules.</t>
        </is>
      </c>
      <c r="C11" s="98" t="inlineStr">
        <is>
          <t>It must be verified and reversible.</t>
        </is>
      </c>
    </row>
    <row r="12" ht="48" customHeight="1">
      <c r="A12" s="98" t="inlineStr">
        <is>
          <t>RLS</t>
        </is>
      </c>
      <c r="B12" s="98" t="inlineStr">
        <is>
          <t>Database rules deciding which user may read or change each row.</t>
        </is>
      </c>
      <c r="C12" s="98" t="inlineStr">
        <is>
          <t>It prevents customers seeing each other's data.</t>
        </is>
      </c>
    </row>
    <row r="13" ht="48" customHeight="1">
      <c r="A13" s="98" t="inlineStr">
        <is>
          <t>Stripe test mode</t>
        </is>
      </c>
      <c r="B13" s="98" t="inlineStr">
        <is>
          <t>A safe Stripe environment using pretend cards and no real money.</t>
        </is>
      </c>
      <c r="C13" s="98" t="inlineStr">
        <is>
          <t>Payment behaviour must pass here before checkout is live.</t>
        </is>
      </c>
    </row>
    <row r="14" ht="48" customHeight="1">
      <c r="A14" s="98" t="inlineStr">
        <is>
          <t>Webhook</t>
        </is>
      </c>
      <c r="B14" s="98" t="inlineStr">
        <is>
          <t>A signed message Stripe sends YOW after a payment event.</t>
        </is>
      </c>
      <c r="C14" s="98" t="inlineStr">
        <is>
          <t>It changes paid access.</t>
        </is>
      </c>
    </row>
    <row r="15" ht="48" customHeight="1">
      <c r="A15" s="98" t="inlineStr">
        <is>
          <t>Entitlement</t>
        </is>
      </c>
      <c r="B15" s="98" t="inlineStr">
        <is>
          <t>The server-controlled record of features a plan allows.</t>
        </is>
      </c>
      <c r="C15" s="98" t="inlineStr">
        <is>
          <t>Customers receive exactly what they paid for.</t>
        </is>
      </c>
    </row>
    <row r="16" ht="48" customHeight="1">
      <c r="A16" s="98" t="inlineStr">
        <is>
          <t>Release candidate</t>
        </is>
      </c>
      <c r="B16" s="98" t="inlineStr">
        <is>
          <t>The exact build proposed for launch after feature work stops.</t>
        </is>
      </c>
      <c r="C16" s="98" t="inlineStr">
        <is>
          <t>Only blockers should alter it.</t>
        </is>
      </c>
    </row>
    <row r="17" ht="48" customHeight="1">
      <c r="A17" s="98" t="inlineStr">
        <is>
          <t>Hard gate</t>
        </is>
      </c>
      <c r="B17" s="98" t="inlineStr">
        <is>
          <t>A safety or business check that must pass before launch proceeds.</t>
        </is>
      </c>
      <c r="C17" s="98" t="inlineStr">
        <is>
          <t>Failure moves the date; it is never skipped.</t>
        </is>
      </c>
    </row>
    <row r="18" ht="48" customHeight="1">
      <c r="A18" s="98" t="inlineStr">
        <is>
          <t>Rollback</t>
        </is>
      </c>
      <c r="B18" s="98" t="inlineStr">
        <is>
          <t>Return production to its previous known-good version.</t>
        </is>
      </c>
      <c r="C18" s="98" t="inlineStr">
        <is>
          <t>It is the safe exit when launch differs from rehearsal.</t>
        </is>
      </c>
    </row>
    <row r="19" ht="48" customHeight="1">
      <c r="A19" s="98" t="inlineStr">
        <is>
          <t>Quiet release</t>
        </is>
      </c>
      <c r="B19" s="98" t="inlineStr">
        <is>
          <t>Checkout is live but ads are not; one real purchase proves the full path.</t>
        </is>
      </c>
      <c r="C19" s="98" t="inlineStr">
        <is>
          <t>It catches production-only problems before traffic arrives.</t>
        </is>
      </c>
    </row>
    <row r="20" ht="48" customHeight="1">
      <c r="A20" s="98" t="inlineStr">
        <is>
          <t>Public launch</t>
        </is>
      </c>
      <c r="B20" s="98" t="inlineStr">
        <is>
          <t>The healthy product is announced and marketing begins.</t>
        </is>
      </c>
      <c r="C20" s="98" t="inlineStr">
        <is>
          <t>People seeing an ad can buy immediately.</t>
        </is>
      </c>
    </row>
    <row r="21" ht="48" customHeight="1">
      <c r="A21" s="98" t="inlineStr">
        <is>
          <t>Beta closure</t>
        </is>
      </c>
      <c r="B21" s="98" t="inlineStr">
        <is>
          <t>Stop offering Beta to new people while preserving existing testers' agreed access and exports.</t>
        </is>
      </c>
      <c r="C21" s="98" t="inlineStr">
        <is>
          <t>It changes the offer without abruptly locking people out.</t>
        </is>
      </c>
    </row>
    <row r="22" ht="48" customHeight="1">
      <c r="A22" s="233" t="inlineStr">
        <is>
          <t>Evidence</t>
        </is>
      </c>
      <c r="B22" s="233" t="inlineStr">
        <is>
          <t>A result, screenshot, log, file, or observation showing what happened.</t>
        </is>
      </c>
      <c r="C22" s="233" t="inlineStr">
        <is>
          <t>Done means proven, not attempted.</t>
        </is>
      </c>
    </row>
  </sheetData>
  <mergeCells count="2">
    <mergeCell ref="A3:C3"/>
    <mergeCell ref="A2:C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30" customWidth="1" min="1" max="1"/>
    <col width="95" customWidth="1" min="2" max="2"/>
    <col width="50" customWidth="1" min="3" max="3"/>
    <col width="14" customWidth="1" min="4" max="4"/>
  </cols>
  <sheetData>
    <row r="1">
      <c r="A1" s="243" t="inlineStr">
        <is>
          <t>Roadmap alignment — every open roadmap / QA-plan item and the day it is scheduled (docs/ROADMAP.md "Sprint alignment" is the canonical copy)</t>
        </is>
      </c>
    </row>
    <row r="3">
      <c r="A3" s="271" t="inlineStr">
        <is>
          <t>Launch Readiness Gate</t>
        </is>
      </c>
    </row>
    <row r="4">
      <c r="A4" s="244" t="inlineStr">
        <is>
          <t>Gate</t>
        </is>
      </c>
      <c r="B4" s="244" t="inlineStr">
        <is>
          <t>How the sprint closes it</t>
        </is>
      </c>
      <c r="C4" s="244" t="inlineStr">
        <is>
          <t>Closing day</t>
        </is>
      </c>
    </row>
    <row r="5">
      <c r="A5" s="245" t="inlineStr">
        <is>
          <t>Scope gate</t>
        </is>
      </c>
      <c r="B5" s="245" t="inlineStr">
        <is>
          <t>Desktop workspace built and verified (6-11 and 17 Oct); every Launch Required and To Be Implemented row closed by 16 Oct or explicitly moved to Future/Excluded</t>
        </is>
      </c>
      <c r="C5" s="245" t="inlineStr">
        <is>
          <t>Fri 16 Oct</t>
        </is>
      </c>
    </row>
    <row r="6">
      <c r="A6" s="245" t="inlineStr">
        <is>
          <t>Project-type gate</t>
        </is>
      </c>
      <c r="B6" s="245" t="inlineStr">
        <is>
          <t>All six types pass create -&gt; write -&gt; export (12-15 Oct); AI behaviour per type (19-20 Oct)</t>
        </is>
      </c>
      <c r="C6" s="245" t="inlineStr">
        <is>
          <t>Tue 20 Oct</t>
        </is>
      </c>
    </row>
    <row r="7">
      <c r="A7" s="245" t="inlineStr">
        <is>
          <t>Data safety gate</t>
        </is>
      </c>
      <c r="B7" s="245" t="inlineStr">
        <is>
          <t>Auth, save, restore, isolation, storage-limit and local/cloud transition evidence (1-5 Oct)</t>
        </is>
      </c>
      <c r="C7" s="245" t="inlineStr">
        <is>
          <t>Mon 5 Oct</t>
        </is>
      </c>
    </row>
    <row r="8">
      <c r="A8" s="245" t="inlineStr">
        <is>
          <t>Export ownership gate</t>
        </is>
      </c>
      <c r="B8" s="245" t="inlineStr">
        <is>
          <t>ZIP/DOCX/PDF/World Bible readable and private, including expiry access (2 and 4-5 Oct)</t>
        </is>
      </c>
      <c r="C8" s="245" t="inlineStr">
        <is>
          <t>Mon 5 Oct</t>
        </is>
      </c>
    </row>
    <row r="9">
      <c r="A9" s="245" t="inlineStr">
        <is>
          <t>Payment gate</t>
        </is>
      </c>
      <c r="B9" s="245" t="inlineStr">
        <is>
          <t>Stripe test-mode journey passes (21-23 Oct), live config reviewed without purchase (24-25 Oct)</t>
        </is>
      </c>
      <c r="C9" s="245" t="inlineStr">
        <is>
          <t>Sat 24 Oct</t>
        </is>
      </c>
    </row>
    <row r="10">
      <c r="A10" s="245" t="inlineStr">
        <is>
          <t>Legal and promise gate</t>
        </is>
      </c>
      <c r="B10" s="245" t="inlineStr">
        <is>
          <t>Copy, Terms, Privacy and behaviour reconciled and approved (21 Oct)</t>
        </is>
      </c>
      <c r="C10" s="245" t="inlineStr">
        <is>
          <t>Wed 21 Oct</t>
        </is>
      </c>
    </row>
    <row r="11">
      <c r="A11" s="245" t="inlineStr">
        <is>
          <t>Responsive gate</t>
        </is>
      </c>
      <c r="B11" s="245" t="inlineStr">
        <is>
          <t>375/768/desktop, Safari/Firefox, real iPhone, keyboard and screen reader (18 Oct)</t>
        </is>
      </c>
      <c r="C11" s="245" t="inlineStr">
        <is>
          <t>Sun 18 Oct</t>
        </is>
      </c>
    </row>
    <row r="12">
      <c r="A12" s="245" t="inlineStr">
        <is>
          <t>Performance gate</t>
        </is>
      </c>
      <c r="B12" s="245" t="inlineStr">
        <is>
          <t>Bundle/route budgets and realistic large-project load (18 Oct); decision D1</t>
        </is>
      </c>
      <c r="C12" s="245" t="inlineStr">
        <is>
          <t>Sun 18 Oct</t>
        </is>
      </c>
    </row>
    <row r="13">
      <c r="A13" s="245" t="inlineStr">
        <is>
          <t>Marketing gate</t>
        </is>
      </c>
      <c r="B13" s="245" t="inlineStr">
        <is>
          <t>Passed 24 Sep for its defined scope; re-verified after copy changes (21 and 24 Oct)</t>
        </is>
      </c>
      <c r="C13" s="245" t="inlineStr">
        <is>
          <t>Sat 24 Oct</t>
        </is>
      </c>
    </row>
    <row r="15">
      <c r="A15" s="271" t="inlineStr">
        <is>
          <t>Item-by-item</t>
        </is>
      </c>
    </row>
    <row r="16">
      <c r="A16" s="244" t="inlineStr">
        <is>
          <t>Day</t>
        </is>
      </c>
      <c r="B16" s="244" t="inlineStr">
        <is>
          <t>Item</t>
        </is>
      </c>
      <c r="C16" s="244" t="inlineStr">
        <is>
          <t>Source in roadmap / QA plan</t>
        </is>
      </c>
      <c r="D16" s="244" t="inlineStr">
        <is>
          <t>Needs owner?</t>
        </is>
      </c>
    </row>
    <row r="17">
      <c r="A17" s="245" t="inlineStr">
        <is>
          <t>Thu 1 Oct</t>
        </is>
      </c>
      <c r="B17" s="245" t="inlineStr">
        <is>
          <t>Web idle-logout (24h) live-check script: force stale timestamp, confirm clean sign-out without data loss</t>
        </is>
      </c>
      <c r="C17" s="245" t="inlineStr">
        <is>
          <t>QA_PLAN Priority 1 / Launch Required: Web idle logout</t>
        </is>
      </c>
      <c r="D17" s="245" t="inlineStr">
        <is>
          <t>AI-only</t>
        </is>
      </c>
    </row>
    <row r="18">
      <c r="A18" s="245" t="inlineStr">
        <is>
          <t>Thu 1 Oct</t>
        </is>
      </c>
      <c r="B18" s="245" t="inlineStr">
        <is>
          <t>Canonical-host redirect verification (bare domain -&gt; www; path+query preserved; cross-tab auth) script and result</t>
        </is>
      </c>
      <c r="C18" s="245" t="inlineStr">
        <is>
          <t>QA_PLAN Priority 1 / Bugs: bare-domain vs www login</t>
        </is>
      </c>
      <c r="D18" s="245" t="inlineStr">
        <is>
          <t>AI-only</t>
        </is>
      </c>
    </row>
    <row r="19">
      <c r="A19" s="245" t="inlineStr">
        <is>
          <t>Thu 1 Oct</t>
        </is>
      </c>
      <c r="B19" s="245" t="inlineStr">
        <is>
          <t>Deployed security-header check (CSP, HSTS, nosniff, frame, referrer) if not already evidenced on 5 Oct</t>
        </is>
      </c>
      <c r="C19" s="245" t="inlineStr">
        <is>
          <t>QA_PLAN Priority 11 / Security: baseline headers</t>
        </is>
      </c>
      <c r="D19" s="245" t="inlineStr">
        <is>
          <t>AI-only</t>
        </is>
      </c>
    </row>
    <row r="20">
      <c r="A20" s="245" t="inlineStr">
        <is>
          <t>Fri 2 Oct</t>
        </is>
      </c>
      <c r="B20" s="245" t="inlineStr">
        <is>
          <t>DOCX single line-break vs blank-line paragraph fidelity, checked by opening in real Word and Google Docs</t>
        </is>
      </c>
      <c r="C20" s="245" t="inlineStr">
        <is>
          <t>Bugs: manuscript line breaks in DOCX</t>
        </is>
      </c>
      <c r="D20" s="245" t="inlineStr">
        <is>
          <t>AI-only</t>
        </is>
      </c>
    </row>
    <row r="21">
      <c r="A21" s="245" t="inlineStr">
        <is>
          <t>Fri 2 Oct</t>
        </is>
      </c>
      <c r="B21" s="245" t="inlineStr">
        <is>
          <t>AI chat saved as project entry and exported to Word (full chat panel path, not just bottom bar)</t>
        </is>
      </c>
      <c r="C21" s="245" t="inlineStr">
        <is>
          <t>Bugs: AI chats not durable/exportable</t>
        </is>
      </c>
      <c r="D21" s="245" t="inlineStr">
        <is>
          <t>AI-only</t>
        </is>
      </c>
    </row>
    <row r="22">
      <c r="A22" s="245" t="inlineStr">
        <is>
          <t>Fri 2 Oct</t>
        </is>
      </c>
      <c r="B22" s="245" t="inlineStr">
        <is>
          <t>World Bible / visual PDF/HTML encyclopedia output inspected for all six project types</t>
        </is>
      </c>
      <c r="C22" s="245" t="inlineStr">
        <is>
          <t>QA Needed: World Bible export path</t>
        </is>
      </c>
      <c r="D22" s="245" t="inlineStr">
        <is>
          <t>AI-only</t>
        </is>
      </c>
    </row>
    <row r="23">
      <c r="A23" s="245" t="inlineStr">
        <is>
          <t>Sat 3 Oct</t>
        </is>
      </c>
      <c r="B23" s="245" t="inlineStr">
        <is>
          <t>Confirm scene-revision migration is applied in production and the legacy-projection fallback is no longer needed</t>
        </is>
      </c>
      <c r="C23" s="245" t="inlineStr">
        <is>
          <t>Bugs: scene-concurrency projects failed to load</t>
        </is>
      </c>
      <c r="D23" s="245" t="inlineStr">
        <is>
          <t>AI-only</t>
        </is>
      </c>
    </row>
    <row r="24">
      <c r="A24" s="245" t="inlineStr">
        <is>
          <t>Sat 3 Oct</t>
        </is>
      </c>
      <c r="B24" s="245" t="inlineStr">
        <is>
          <t>Replay every committed migration on an empty Supabase project with no manual SQL; reconcile migration history; dry-run push</t>
        </is>
      </c>
      <c r="C24" s="245" t="inlineStr">
        <is>
          <t>QA_PLAN Priority -1: Database and server continuity</t>
        </is>
      </c>
      <c r="D24" s="245" t="inlineStr">
        <is>
          <t>AI-only</t>
        </is>
      </c>
    </row>
    <row r="25">
      <c r="A25" s="245" t="inlineStr">
        <is>
          <t>Sat 3 Oct</t>
        </is>
      </c>
      <c r="B25" s="245" t="inlineStr">
        <is>
          <t>Two-account global-ID collision attempts against every normalized table</t>
        </is>
      </c>
      <c r="C25" s="245" t="inlineStr">
        <is>
          <t>QA_PLAN Priority -1: Database and server continuity</t>
        </is>
      </c>
      <c r="D25" s="245" t="inlineStr">
        <is>
          <t>AI-only</t>
        </is>
      </c>
    </row>
    <row r="26">
      <c r="A26" s="245" t="inlineStr">
        <is>
          <t>Sat 3 Oct</t>
        </is>
      </c>
      <c r="B26" s="245" t="inlineStr">
        <is>
          <t>Deploy only the authoritative Vercel billing stack; retire/quarantine the drifted legacy Supabase Edge Function Stripe copies</t>
        </is>
      </c>
      <c r="C26" s="245" t="inlineStr">
        <is>
          <t>PAYMENT_ROADMAP 2026-10-02 note / QA_PLAN Priority -1</t>
        </is>
      </c>
      <c r="D26" s="245" t="inlineStr">
        <is>
          <t>AI-only</t>
        </is>
      </c>
    </row>
    <row r="27">
      <c r="A27" s="245" t="inlineStr">
        <is>
          <t>Sat 3 Oct</t>
        </is>
      </c>
      <c r="B27" s="245" t="inlineStr">
        <is>
          <t>Verify .env.example + runbook can stand up a disposable environment with no browser-exposed provider keys</t>
        </is>
      </c>
      <c r="C27" s="245" t="inlineStr">
        <is>
          <t>QA_PLAN Priority -1</t>
        </is>
      </c>
      <c r="D27" s="245" t="inlineStr">
        <is>
          <t>AI-only</t>
        </is>
      </c>
    </row>
    <row r="28">
      <c r="A28" s="245" t="inlineStr">
        <is>
          <t>Sat 3 Oct</t>
        </is>
      </c>
      <c r="B28" s="245" t="inlineStr">
        <is>
          <t>Scene cleanup on project delete: prepare read-only Supabase check that no scene rows remain</t>
        </is>
      </c>
      <c r="C28" s="245" t="inlineStr">
        <is>
          <t>QA_PLAN Priority 1: Scene cleanup on project delete</t>
        </is>
      </c>
      <c r="D28" s="245" t="inlineStr">
        <is>
          <t>O03</t>
        </is>
      </c>
    </row>
    <row r="29">
      <c r="A29" s="245" t="inlineStr">
        <is>
          <t>Sat 3 Oct</t>
        </is>
      </c>
      <c r="B29" s="245" t="inlineStr">
        <is>
          <t>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C29" s="245" t="inlineStr">
        <is>
          <t>Security table / owner 2026-09-30</t>
        </is>
      </c>
      <c r="D29" s="245" t="inlineStr">
        <is>
          <t>AI-only</t>
        </is>
      </c>
    </row>
    <row r="30">
      <c r="A30" s="245" t="inlineStr">
        <is>
          <t>Sun 4 Oct</t>
        </is>
      </c>
      <c r="B30" s="245" t="inlineStr">
        <is>
          <t>Entitlement negative matrix: Free user cannot write plan/status/Founder/Lifetime/Stripe fields via any path</t>
        </is>
      </c>
      <c r="C30" s="245" t="inlineStr">
        <is>
          <t>QA_PLAN Priority -1: Secrets and authorization</t>
        </is>
      </c>
      <c r="D30" s="245" t="inlineStr">
        <is>
          <t>AI-only</t>
        </is>
      </c>
    </row>
    <row r="31">
      <c r="A31" s="245" t="inlineStr">
        <is>
          <t>Sun 4 Oct</t>
        </is>
      </c>
      <c r="B31" s="245" t="inlineStr">
        <is>
          <t>Durable rate-limit live checks (AI proxy, feedback, paid-interest, email actions): 6th request 429s, window clears</t>
        </is>
      </c>
      <c r="C31" s="245" t="inlineStr">
        <is>
          <t>Security: durable rate limits / QA_PLAN Priority -1</t>
        </is>
      </c>
      <c r="D31" s="245" t="inlineStr">
        <is>
          <t>O05</t>
        </is>
      </c>
    </row>
    <row r="32">
      <c r="A32" s="245" t="inlineStr">
        <is>
          <t>Sun 4 Oct</t>
        </is>
      </c>
      <c r="B32" s="245" t="inlineStr">
        <is>
          <t>Queued-storage fault injection: IndexedDB/SQLite open, quota, disk-full, corruption, close-during-write; UI never says Saved before durable</t>
        </is>
      </c>
      <c r="C32" s="245" t="inlineStr">
        <is>
          <t>Security P0-07 / QA_PLAN Priority -1: Data durability</t>
        </is>
      </c>
      <c r="D32" s="245" t="inlineStr">
        <is>
          <t>AI-only</t>
        </is>
      </c>
    </row>
    <row r="33">
      <c r="A33" s="245" t="inlineStr">
        <is>
          <t>Sun 4 Oct</t>
        </is>
      </c>
      <c r="B33" s="245" t="inlineStr">
        <is>
          <t>Legacy migration matrix: localStorage-only, IndexedDB-only, divergent, empty scenes, orphan keys, tombstones, auth tokens preserved/excluded</t>
        </is>
      </c>
      <c r="C33" s="245" t="inlineStr">
        <is>
          <t>QA_PLAN Priority -1: Data durability</t>
        </is>
      </c>
      <c r="D33" s="245" t="inlineStr">
        <is>
          <t>AI-only</t>
        </is>
      </c>
    </row>
    <row r="34">
      <c r="A34" s="245" t="inlineStr">
        <is>
          <t>Sun 4 Oct</t>
        </is>
      </c>
      <c r="B34" s="245" t="inlineStr">
        <is>
          <t>Project archive identity matrix: export/import beside original, another account, colliding IDs, every project type</t>
        </is>
      </c>
      <c r="C34" s="245" t="inlineStr">
        <is>
          <t>QA_PLAN Priority -1 / Bugs P0-06 import id collision</t>
        </is>
      </c>
      <c r="D34" s="245" t="inlineStr">
        <is>
          <t>AI-only</t>
        </is>
      </c>
    </row>
    <row r="35">
      <c r="A35" s="245" t="inlineStr">
        <is>
          <t>Sun 4 Oct</t>
        </is>
      </c>
      <c r="B35" s="245" t="inlineStr">
        <is>
          <t>Server-side quota enforcement bypassing the UI (MIME, size, concurrency, deletion accounting, downgrade/renewal)</t>
        </is>
      </c>
      <c r="C35" s="245" t="inlineStr">
        <is>
          <t>QA_PLAN Priority -1: Data durability</t>
        </is>
      </c>
      <c r="D35" s="245" t="inlineStr">
        <is>
          <t>AI-only</t>
        </is>
      </c>
    </row>
    <row r="36">
      <c r="A36" s="245" t="inlineStr">
        <is>
          <t>Sun 4 Oct</t>
        </is>
      </c>
      <c r="B36" s="245" t="inlineStr">
        <is>
          <t>Live two-tab structured-record clobber + nf_scene_versions cross-tab race repro (real credentialed account)</t>
        </is>
      </c>
      <c r="C36" s="245" t="inlineStr">
        <is>
          <t>Bugs: two tabs clobber edits</t>
        </is>
      </c>
      <c r="D36" s="245" t="inlineStr">
        <is>
          <t>O04</t>
        </is>
      </c>
    </row>
    <row r="37">
      <c r="A37" s="245" t="inlineStr">
        <is>
          <t>Sun 4 Oct</t>
        </is>
      </c>
      <c r="B37" s="245" t="inlineStr">
        <is>
          <t>Real-signup flow: first-sign-in sample project prompt, exactly one Sample Project, tour persistence, unconfigured-AI guidance</t>
        </is>
      </c>
      <c r="C37" s="245" t="inlineStr">
        <is>
          <t>QA_PLAN Priority 1: new-account sample/AI setup, brand-new unconfigured AI account</t>
        </is>
      </c>
      <c r="D37" s="245" t="inlineStr">
        <is>
          <t>O01</t>
        </is>
      </c>
    </row>
    <row r="38">
      <c r="A38" s="245" t="inlineStr">
        <is>
          <t>Sun 4 Oct</t>
        </is>
      </c>
      <c r="B38" s="245" t="inlineStr">
        <is>
          <t>Cross-browser tour/wizard persistence (fresh browser profile on established account)</t>
        </is>
      </c>
      <c r="C38" s="245" t="inlineStr">
        <is>
          <t>QA_PLAN Priority 1</t>
        </is>
      </c>
      <c r="D38" s="245" t="inlineStr">
        <is>
          <t>O01</t>
        </is>
      </c>
    </row>
    <row r="39">
      <c r="A39" s="245" t="inlineStr">
        <is>
          <t>Mon 5 Oct</t>
        </is>
      </c>
      <c r="B39" s="245" t="inlineStr">
        <is>
          <t>Data safety gate and Export ownership gate: write each gate's evidence summary; move a gate to Passed only with evidence, otherwise list the exact remaining blocker</t>
        </is>
      </c>
      <c r="C39" s="245" t="inlineStr">
        <is>
          <t>Launch Readiness Gate</t>
        </is>
      </c>
      <c r="D39" s="245" t="inlineStr">
        <is>
          <t>AI-only</t>
        </is>
      </c>
    </row>
    <row r="40">
      <c r="A40" s="245" t="inlineStr">
        <is>
          <t>Tue 6 Oct</t>
        </is>
      </c>
      <c r="B40" s="245" t="inlineStr">
        <is>
          <t>Desktop entitlement matrix: Free/Monthly/Beta desktop behaviour matches approved matrix and cannot be changed by editing cache/localStorage/user metadata</t>
        </is>
      </c>
      <c r="C40" s="245" t="inlineStr">
        <is>
          <t>QA_PLAN Priority -1: Desktop product and release</t>
        </is>
      </c>
      <c r="D40" s="245" t="inlineStr">
        <is>
          <t>AI-only</t>
        </is>
      </c>
    </row>
    <row r="41">
      <c r="A41" s="245" t="inlineStr">
        <is>
          <t>Tue 6 Oct</t>
        </is>
      </c>
      <c r="B41" s="245" t="inlineStr">
        <is>
          <t>Device cap is enforced (not just a dismissible toast); licence activation with 30-day advisory recheck and offline grace</t>
        </is>
      </c>
      <c r="C41" s="245" t="inlineStr">
        <is>
          <t>QA_PLAN Priority -1 / To Be Implemented: Desktop Lifetime app</t>
        </is>
      </c>
      <c r="D41" s="245" t="inlineStr">
        <is>
          <t>AI-only</t>
        </is>
      </c>
    </row>
    <row r="42">
      <c r="A42" s="245" t="inlineStr">
        <is>
          <t>Tue 6 Oct</t>
        </is>
      </c>
      <c r="B42" s="245" t="inlineStr">
        <is>
          <t>Platform-native commands: external links open default browser; vault reveal opens Finder on macOS and Explorer on Windows</t>
        </is>
      </c>
      <c r="C42" s="245" t="inlineStr">
        <is>
          <t>QA_PLAN Priority -1: Desktop / Security row: open_external_url</t>
        </is>
      </c>
      <c r="D42" s="245" t="inlineStr">
        <is>
          <t>AI-only</t>
        </is>
      </c>
    </row>
    <row r="43">
      <c r="A43" s="245" t="inlineStr">
        <is>
          <t>Tue 6 Oct</t>
        </is>
      </c>
      <c r="B43" s="245" t="inlineStr">
        <is>
          <t>Native/webview items outside the sandbox: focused-writing caret comfort, map draw/undo/PNG export, Supabase auth in WKWebView</t>
        </is>
      </c>
      <c r="C43" s="245" t="inlineStr">
        <is>
          <t>To Be Implemented: Desktop Lifetime app</t>
        </is>
      </c>
      <c r="D43" s="245" t="inlineStr">
        <is>
          <t>AI-only</t>
        </is>
      </c>
    </row>
    <row r="44">
      <c r="A44" s="245" t="inlineStr">
        <is>
          <t>Tue 6 Oct</t>
        </is>
      </c>
      <c r="B44" s="245" t="inlineStr">
        <is>
          <t>Desktop account-only surface replaced by full workspace: re-verify all four plans land in the workspace and device list works</t>
        </is>
      </c>
      <c r="C44" s="245" t="inlineStr">
        <is>
          <t>QA_PLAN Priority 1: Desktop account-only surface</t>
        </is>
      </c>
      <c r="D44" s="245" t="inlineStr">
        <is>
          <t>AI-only</t>
        </is>
      </c>
    </row>
    <row r="45">
      <c r="A45" s="245" t="inlineStr">
        <is>
          <t>Wed 7 Oct</t>
        </is>
      </c>
      <c r="B45" s="245" t="inlineStr">
        <is>
          <t>Vault relocate/locate: move to empty folder, snapshots travel, app reloads, old copy remains, bad/missing path handled</t>
        </is>
      </c>
      <c r="C45" s="245" t="inlineStr">
        <is>
          <t>QA_PLAN Priority 1: Desktop vault relocate/locate</t>
        </is>
      </c>
      <c r="D45" s="245" t="inlineStr">
        <is>
          <t>AI-only</t>
        </is>
      </c>
    </row>
    <row r="46">
      <c r="A46" s="245" t="inlineStr">
        <is>
          <t>Wed 7 Oct</t>
        </is>
      </c>
      <c r="B46" s="245" t="inlineStr">
        <is>
          <t>Vault privacy inspection: vault.db and every snapshot contain no Supabase session, AI key, entitlement secret or unrelated browser key; document encryption-at-rest decision</t>
        </is>
      </c>
      <c r="C46" s="245" t="inlineStr">
        <is>
          <t>QA_PLAN Priority -1 / Bugs P0-10</t>
        </is>
      </c>
      <c r="D46" s="245" t="inlineStr">
        <is>
          <t>AI-only</t>
        </is>
      </c>
    </row>
    <row r="47">
      <c r="A47" s="245" t="inlineStr">
        <is>
          <t>Wed 7 Oct</t>
        </is>
      </c>
      <c r="B47" s="245" t="inlineStr">
        <is>
          <t>Cloud-sync status UI: Syncing / Synced / failure states and Local-first manual sync controls</t>
        </is>
      </c>
      <c r="C47" s="245" t="inlineStr">
        <is>
          <t>QA_PLAN Priority 1: Desktop cloud sync status UI</t>
        </is>
      </c>
      <c r="D47" s="245" t="inlineStr">
        <is>
          <t>AI-only</t>
        </is>
      </c>
    </row>
    <row r="48">
      <c r="A48" s="245" t="inlineStr">
        <is>
          <t>Thu 8 Oct</t>
        </is>
      </c>
      <c r="B48" s="245" t="inlineStr">
        <is>
          <t>Map PNG export and rendered exports from the packaged desktop build (alongside ZIP/DOCX/PDF save dialogs)</t>
        </is>
      </c>
      <c r="C48" s="245" t="inlineStr">
        <is>
          <t>To Be Implemented: Desktop / Reliable map builder</t>
        </is>
      </c>
      <c r="D48" s="245" t="inlineStr">
        <is>
          <t>AI-only</t>
        </is>
      </c>
    </row>
    <row r="49">
      <c r="A49" s="245" t="inlineStr">
        <is>
          <t>Fri 9 Oct</t>
        </is>
      </c>
      <c r="B49" s="245" t="inlineStr">
        <is>
          <t>Cloud sync fully removed on lapse; automatic resume on renewal; Storage tab shows only 'Cloud sync unavailable' + renew CTA</t>
        </is>
      </c>
      <c r="C49" s="245" t="inlineStr">
        <is>
          <t>QA_PLAN Priority 11: cloud sync removed on lapse</t>
        </is>
      </c>
      <c r="D49" s="245" t="inlineStr">
        <is>
          <t>AI-only</t>
        </is>
      </c>
    </row>
    <row r="50">
      <c r="A50" s="245" t="inlineStr">
        <is>
          <t>Fri 9 Oct</t>
        </is>
      </c>
      <c r="B50" s="245" t="inlineStr">
        <is>
          <t>Renewal checkout (GBP 6 hosting) path from desktop: web cloud-required behaviour, entitlement metadata</t>
        </is>
      </c>
      <c r="C50" s="245" t="inlineStr">
        <is>
          <t>Conditional Launch Scope: Lifetime local mode and cloud hosting split</t>
        </is>
      </c>
      <c r="D50" s="245" t="inlineStr">
        <is>
          <t>AI-only</t>
        </is>
      </c>
    </row>
    <row r="51">
      <c r="A51" s="245" t="inlineStr">
        <is>
          <t>Sat 10 Oct</t>
        </is>
      </c>
      <c r="B51" s="245" t="inlineStr">
        <is>
          <t>Unsigned-app disclosure shown prominently before purchase (Pricing, Download, FAQ, checkout) plus Gatekeeper/SmartScreen bypass steps</t>
        </is>
      </c>
      <c r="C51" s="245" t="inlineStr">
        <is>
          <t>QA_PLAN Priority -1: unsigned Mac/Windows packages</t>
        </is>
      </c>
      <c r="D51" s="245" t="inlineStr">
        <is>
          <t>AI-only</t>
        </is>
      </c>
    </row>
    <row r="52">
      <c r="A52" s="245" t="inlineStr">
        <is>
          <t>Sat 10 Oct</t>
        </is>
      </c>
      <c r="B52" s="245" t="inlineStr">
        <is>
          <t>Updater manifest covers every supported platform/architecture; test bad signature, missing platform, offline, interrupted update</t>
        </is>
      </c>
      <c r="C52" s="245" t="inlineStr">
        <is>
          <t>QA_PLAN Priority -1: updater manifest</t>
        </is>
      </c>
      <c r="D52" s="245" t="inlineStr">
        <is>
          <t>AI-only</t>
        </is>
      </c>
    </row>
    <row r="53">
      <c r="A53" s="245" t="inlineStr">
        <is>
          <t>Sun 11 Oct</t>
        </is>
      </c>
      <c r="B53" s="245" t="inlineStr">
        <is>
          <t>Clean-machine Mac: Gatekeeper bypass steps as a customer, install, update from previous release, uninstall leaves vault intact</t>
        </is>
      </c>
      <c r="C53" s="245" t="inlineStr">
        <is>
          <t>QA_PLAN Priority -1: unsigned packages</t>
        </is>
      </c>
      <c r="D53" s="245" t="inlineStr">
        <is>
          <t>AI-only</t>
        </is>
      </c>
    </row>
    <row r="54">
      <c r="A54" s="245" t="inlineStr">
        <is>
          <t>Mon 12 Oct</t>
        </is>
      </c>
      <c r="B54" s="245" t="inlineStr">
        <is>
          <t>Daily-goal streaks: page refresh and project switching while a streak is active, at desktop/tablet/mobile widths</t>
        </is>
      </c>
      <c r="C54" s="245" t="inlineStr">
        <is>
          <t>Launch Required: Consecutive daily-goal streaks</t>
        </is>
      </c>
      <c r="D54" s="245" t="inlineStr">
        <is>
          <t>AI-only</t>
        </is>
      </c>
    </row>
    <row r="55">
      <c r="A55" s="245" t="inlineStr">
        <is>
          <t>Mon 12 Oct</t>
        </is>
      </c>
      <c r="B55" s="245" t="inlineStr">
        <is>
          <t>'Finalise draft' action appears for non-novel types and silently no-ops: hide or make it work, plus regression test</t>
        </is>
      </c>
      <c r="C55" s="245" t="inlineStr">
        <is>
          <t>Bugs 2026-09-24: Finalise draft for non-novel types</t>
        </is>
      </c>
      <c r="D55" s="245" t="inlineStr">
        <is>
          <t>AI-only</t>
        </is>
      </c>
    </row>
    <row r="56">
      <c r="A56" s="245" t="inlineStr">
        <is>
          <t>Mon 12 Oct</t>
        </is>
      </c>
      <c r="B56" s="245" t="inlineStr">
        <is>
          <t>Novella and Short Story starter templates only show their own templates; project-type gate rows for both</t>
        </is>
      </c>
      <c r="C56" s="245" t="inlineStr">
        <is>
          <t>Project Type Launch Scope</t>
        </is>
      </c>
      <c r="D56" s="245" t="inlineStr">
        <is>
          <t>AI-only</t>
        </is>
      </c>
    </row>
    <row r="57">
      <c r="A57" s="245" t="inlineStr">
        <is>
          <t>Tue 13 Oct</t>
        </is>
      </c>
      <c r="B57" s="245" t="inlineStr">
        <is>
          <t>D&amp;D/TTRPG project-type-aware AI behaviour (DM-side vs GM-side framing): prepare the guided checks; owner runs them with their own AI key on 19 Oct</t>
        </is>
      </c>
      <c r="C57" s="245" t="inlineStr">
        <is>
          <t>Bugs 2026-07-19: D&amp;D/TTRPG session workflow</t>
        </is>
      </c>
      <c r="D57" s="245" t="inlineStr">
        <is>
          <t>O07</t>
        </is>
      </c>
    </row>
    <row r="58">
      <c r="A58" s="245" t="inlineStr">
        <is>
          <t>Tue 13 Oct</t>
        </is>
      </c>
      <c r="B58" s="245" t="inlineStr">
        <is>
          <t>Session prep/recap persistence, default-section visibility and export for both campaign types</t>
        </is>
      </c>
      <c r="C58" s="245" t="inlineStr">
        <is>
          <t>All Project Types Live Plan</t>
        </is>
      </c>
      <c r="D58" s="245" t="inlineStr">
        <is>
          <t>AI-only</t>
        </is>
      </c>
    </row>
    <row r="59">
      <c r="A59" s="245" t="inlineStr">
        <is>
          <t>Wed 14 Oct</t>
        </is>
      </c>
      <c r="B59" s="245" t="inlineStr">
        <is>
          <t>Local write path / media upload: live-account upload QA well beyond the old 5-10 MB localStorage cap</t>
        </is>
      </c>
      <c r="C59" s="245" t="inlineStr">
        <is>
          <t>Launch Required: Local write path capped below paid storage promise</t>
        </is>
      </c>
      <c r="D59" s="245" t="inlineStr">
        <is>
          <t>O08</t>
        </is>
      </c>
    </row>
    <row r="60">
      <c r="A60" s="245" t="inlineStr">
        <is>
          <t>Wed 14 Oct</t>
        </is>
      </c>
      <c r="B60" s="245" t="inlineStr">
        <is>
          <t>Novel finalised-draft reader and snapshots: multiple snapshots, previous/next, non-novel hiding</t>
        </is>
      </c>
      <c r="C60" s="245" t="inlineStr">
        <is>
          <t>QA Needed: finalised draft snapshots</t>
        </is>
      </c>
      <c r="D60" s="245" t="inlineStr">
        <is>
          <t>AI-only</t>
        </is>
      </c>
    </row>
    <row r="61">
      <c r="A61" s="245" t="inlineStr">
        <is>
          <t>Wed 14 Oct</t>
        </is>
      </c>
      <c r="B61" s="245" t="inlineStr">
        <is>
          <t>Comic/Graphic Novel live-Supabase and large-project pass (browser-level QA already passed)</t>
        </is>
      </c>
      <c r="C61" s="245" t="inlineStr">
        <is>
          <t>Project Type Launch Scope: Comic</t>
        </is>
      </c>
      <c r="D61" s="245" t="inlineStr">
        <is>
          <t>AI-only</t>
        </is>
      </c>
    </row>
    <row r="62">
      <c r="A62" s="245" t="inlineStr">
        <is>
          <t>Thu 15 Oct</t>
        </is>
      </c>
      <c r="B62" s="245" t="inlineStr">
        <is>
          <t>Reliable map builder acceptance: persistence, grid overlay, JSON import/export, restore from ZIP, high-res PNG, undo/redo, all four map types</t>
        </is>
      </c>
      <c r="C62" s="245" t="inlineStr">
        <is>
          <t>To Be Implemented: Reliable map builder</t>
        </is>
      </c>
      <c r="D62" s="245" t="inlineStr">
        <is>
          <t>AI-only</t>
        </is>
      </c>
    </row>
    <row r="63">
      <c r="A63" s="245" t="inlineStr">
        <is>
          <t>Fri 16 Oct</t>
        </is>
      </c>
      <c r="B63" s="245" t="inlineStr">
        <is>
          <t>Characters: live-sync/media, stale-selection repair and rendered export; Character journey/arc tracking acceptance</t>
        </is>
      </c>
      <c r="C63" s="245" t="inlineStr">
        <is>
          <t>Launch Required: Character system / To Be Implemented</t>
        </is>
      </c>
      <c r="D63" s="245" t="inlineStr">
        <is>
          <t>AI-only</t>
        </is>
      </c>
    </row>
    <row r="64">
      <c r="A64" s="245" t="inlineStr">
        <is>
          <t>Fri 16 Oct</t>
        </is>
      </c>
      <c r="B64" s="245" t="inlineStr">
        <is>
          <t>Locations link cleanup; Lore and Timeline/History on a real synced multi-project series</t>
        </is>
      </c>
      <c r="C64" s="245" t="inlineStr">
        <is>
          <t>Launch Required: Locations, Lore, Timeline/History</t>
        </is>
      </c>
      <c r="D64" s="245" t="inlineStr">
        <is>
          <t>O09</t>
        </is>
      </c>
    </row>
    <row r="65">
      <c r="A65" s="245" t="inlineStr">
        <is>
          <t>Fri 16 Oct</t>
        </is>
      </c>
      <c r="B65" s="245" t="inlineStr">
        <is>
          <t>Character relationship mapping full-network canvas: browser and live-sync QA</t>
        </is>
      </c>
      <c r="C65" s="245" t="inlineStr">
        <is>
          <t>Conditional Launch Scope</t>
        </is>
      </c>
      <c r="D65" s="245" t="inlineStr">
        <is>
          <t>AI-only</t>
        </is>
      </c>
    </row>
    <row r="66">
      <c r="A66" s="245" t="inlineStr">
        <is>
          <t>Fri 16 Oct</t>
        </is>
      </c>
      <c r="B66" s="245" t="inlineStr">
        <is>
          <t>Factions, family groups and Founders directory acceptance</t>
        </is>
      </c>
      <c r="C66" s="245" t="inlineStr">
        <is>
          <t>QA Needed: Factions/family; Founders directory</t>
        </is>
      </c>
      <c r="D66" s="245" t="inlineStr">
        <is>
          <t>AI-only</t>
        </is>
      </c>
    </row>
    <row r="67">
      <c r="A67" s="245" t="inlineStr">
        <is>
          <t>Fri 16 Oct</t>
        </is>
      </c>
      <c r="B67" s="245" t="inlineStr">
        <is>
          <t>Series management and cross-project references; configurable Schedule calendar; Focused writing mode; AI Import for all six types</t>
        </is>
      </c>
      <c r="C67" s="245" t="inlineStr">
        <is>
          <t>To Be Implemented</t>
        </is>
      </c>
      <c r="D67" s="245" t="inlineStr">
        <is>
          <t>AI-only</t>
        </is>
      </c>
    </row>
    <row r="68">
      <c r="A68" s="245" t="inlineStr">
        <is>
          <t>Fri 16 Oct</t>
        </is>
      </c>
      <c r="B68" s="245" t="inlineStr">
        <is>
          <t>Fresh mobile pass on modals/overlays; AI suggestion mode; theme customisation; corner-roundness save-to-profile</t>
        </is>
      </c>
      <c r="C68" s="245" t="inlineStr">
        <is>
          <t>Conditional Launch Scope / QA Needed / QA_PLAN Priority 1</t>
        </is>
      </c>
      <c r="D68" s="245" t="inlineStr">
        <is>
          <t>AI-only</t>
        </is>
      </c>
    </row>
    <row r="69">
      <c r="A69" s="245" t="inlineStr">
        <is>
          <t>Sat 17 Oct</t>
        </is>
      </c>
      <c r="B69" s="245" t="inlineStr">
        <is>
          <t>Windows: SmartScreen bypass steps, WebView2 install, Explorer reveal, updater, uninstall; close Desktop Gate and the desktop row of the Scope gate</t>
        </is>
      </c>
      <c r="C69" s="245" t="inlineStr">
        <is>
          <t>QA_PLAN Priority -1 / Scope gate</t>
        </is>
      </c>
      <c r="D69" s="245" t="inlineStr">
        <is>
          <t>O06</t>
        </is>
      </c>
    </row>
    <row r="70">
      <c r="A70" s="245" t="inlineStr">
        <is>
          <t>Sun 18 Oct</t>
        </is>
      </c>
      <c r="B70" s="245" t="inlineStr">
        <is>
          <t>Performance budgets: route/bundle budgets set and met; cold/warm load on low/mid hardware with a realistic 80k+ word project</t>
        </is>
      </c>
      <c r="C70" s="245" t="inlineStr">
        <is>
          <t>Performance gate / QA_PLAN Priority -1</t>
        </is>
      </c>
      <c r="D70" s="245" t="inlineStr">
        <is>
          <t>AI-only</t>
        </is>
      </c>
    </row>
    <row r="71">
      <c r="A71" s="245" t="inlineStr">
        <is>
          <t>Sun 18 Oct</t>
        </is>
      </c>
      <c r="B71" s="245" t="inlineStr">
        <is>
          <t>Very large single scene with a note attached: fix or ship a documented limit (see Decisions D1)</t>
        </is>
      </c>
      <c r="C71" s="245" t="inlineStr">
        <is>
          <t>Bugs 2026-08-08: very large scene typing lag</t>
        </is>
      </c>
      <c r="D71" s="245" t="inlineStr">
        <is>
          <t>D1</t>
        </is>
      </c>
    </row>
    <row r="72">
      <c r="A72" s="245" t="inlineStr">
        <is>
          <t>Sun 18 Oct</t>
        </is>
      </c>
      <c r="B72" s="245" t="inlineStr">
        <is>
          <t>Real iPhone Safari: address bar does not collapse (marked NOT fixed 23 Sep) and white bars above/below the page</t>
        </is>
      </c>
      <c r="C72" s="245" t="inlineStr">
        <is>
          <t>Bugs 2026-09-18: iPhone address bar / QA_PLAN Priority 4</t>
        </is>
      </c>
      <c r="D72" s="245" t="inlineStr">
        <is>
          <t>AI-only</t>
        </is>
      </c>
    </row>
    <row r="73">
      <c r="A73" s="245" t="inlineStr">
        <is>
          <t>Sun 18 Oct</t>
        </is>
      </c>
      <c r="B73" s="245" t="inlineStr">
        <is>
          <t>Remaining contrast-pass installments; Chromium, Safari and Firefox at 375/768/desktop; keyboard-only and VoiceOver pass</t>
        </is>
      </c>
      <c r="C73" s="245" t="inlineStr">
        <is>
          <t>Needs Product Decision: contrast pass / Responsive gate</t>
        </is>
      </c>
      <c r="D73" s="245" t="inlineStr">
        <is>
          <t>O10</t>
        </is>
      </c>
    </row>
    <row r="74">
      <c r="A74" s="245" t="inlineStr">
        <is>
          <t>Mon 19 Oct</t>
        </is>
      </c>
      <c r="B74" s="245" t="inlineStr">
        <is>
          <t>AI key isolation and cross-device sync with two real accounts using OpenRouter and OpenAI keys; proxy transport</t>
        </is>
      </c>
      <c r="C74" s="245" t="inlineStr">
        <is>
          <t>QA_PLAN Priority 1: AI key isolation</t>
        </is>
      </c>
      <c r="D74" s="245" t="inlineStr">
        <is>
          <t>O07</t>
        </is>
      </c>
    </row>
    <row r="75">
      <c r="A75" s="245" t="inlineStr">
        <is>
          <t>Mon 19 Oct</t>
        </is>
      </c>
      <c r="B75" s="245" t="inlineStr">
        <is>
          <t>AI chat context controls and budget awareness with real OpenRouter and OpenAI models; grounding QA</t>
        </is>
      </c>
      <c r="C75" s="245" t="inlineStr">
        <is>
          <t>Bugs: AI chat context controls</t>
        </is>
      </c>
      <c r="D75" s="245" t="inlineStr">
        <is>
          <t>O07</t>
        </is>
      </c>
    </row>
    <row r="76">
      <c r="A76" s="245" t="inlineStr">
        <is>
          <t>Mon 19 Oct</t>
        </is>
      </c>
      <c r="B76" s="245" t="inlineStr">
        <is>
          <t>Named-provider allow-list and untested-provider labelling behave as decided in D5/D9 (no custom endpoints, no advertising of other providers)</t>
        </is>
      </c>
      <c r="C76" s="245" t="inlineStr">
        <is>
          <t>Owner decision 2026-09-30</t>
        </is>
      </c>
      <c r="D76" s="245" t="inlineStr">
        <is>
          <t>AI-only</t>
        </is>
      </c>
    </row>
    <row r="77">
      <c r="A77" s="245" t="inlineStr">
        <is>
          <t>Tue 20 Oct</t>
        </is>
      </c>
      <c r="B77" s="245" t="inlineStr">
        <is>
          <t>Full AI chat panel saved as a project entry and exported to Word; AI Import for all six project types using OpenRouter/OpenAI</t>
        </is>
      </c>
      <c r="C77" s="245" t="inlineStr">
        <is>
          <t>Bugs: AI chat export / To Be Implemented: AI import</t>
        </is>
      </c>
      <c r="D77" s="245" t="inlineStr">
        <is>
          <t>AI-only</t>
        </is>
      </c>
    </row>
    <row r="78">
      <c r="A78" s="245" t="inlineStr">
        <is>
          <t>Tue 20 Oct</t>
        </is>
      </c>
      <c r="B78" s="245" t="inlineStr">
        <is>
          <t>docs/AI_PROVIDER_COMPLIANCE.md lists exactly OpenRouter and OpenAI as supported</t>
        </is>
      </c>
      <c r="C78" s="245" t="inlineStr">
        <is>
          <t>docs/AI_PROVIDER_COMPLIANCE.md</t>
        </is>
      </c>
      <c r="D78" s="245" t="inlineStr">
        <is>
          <t>AI-only</t>
        </is>
      </c>
    </row>
    <row r="79">
      <c r="A79" s="245" t="inlineStr">
        <is>
          <t>Tue 20 Oct</t>
        </is>
      </c>
      <c r="B79" s="245" t="inlineStr">
        <is>
          <t>Close the Project-type gate and Product acceptance evidence for all six types</t>
        </is>
      </c>
      <c r="C79" s="245" t="inlineStr">
        <is>
          <t>Project-type gate</t>
        </is>
      </c>
      <c r="D79" s="245" t="inlineStr">
        <is>
          <t>AI-only</t>
        </is>
      </c>
    </row>
    <row r="80">
      <c r="A80" s="245" t="inlineStr">
        <is>
          <t>Wed 21 Oct</t>
        </is>
      </c>
      <c r="B80" s="24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c r="C80" s="245" t="inlineStr">
        <is>
          <t>Launch Required / owner decision 2026-09-30</t>
        </is>
      </c>
      <c r="D80" s="245" t="inlineStr">
        <is>
          <t>AI-only</t>
        </is>
      </c>
    </row>
    <row r="81">
      <c r="A81" s="245" t="inlineStr">
        <is>
          <t>Wed 21 Oct</t>
        </is>
      </c>
      <c r="B81" s="245" t="inlineStr">
        <is>
          <t>Resolve every item in marketing-copy-review/COPY_CONFLICTS.md and verify Homepage, Pricing, Features, FAQ, Download, Founders, SEO pages, emails, legal modal, llms.txt, schema and Checkout say the same facts</t>
        </is>
      </c>
      <c r="C81" s="245" t="inlineStr">
        <is>
          <t>QA_PLAN Priority -1 / Marketing gate</t>
        </is>
      </c>
      <c r="D81" s="245" t="inlineStr">
        <is>
          <t>AI-only</t>
        </is>
      </c>
    </row>
    <row r="82">
      <c r="A82" s="245" t="inlineStr">
        <is>
          <t>Wed 21 Oct</t>
        </is>
      </c>
      <c r="B82" s="245" t="inlineStr">
        <is>
          <t>Remove player/public-discovery implications from D&amp;D/TTRPG copy (shared projects, player portals, VTT and mobile apps are excluded)</t>
        </is>
      </c>
      <c r="C82" s="245" t="inlineStr">
        <is>
          <t>QA_PLAN Priority -1: Marketing</t>
        </is>
      </c>
      <c r="D82" s="245" t="inlineStr">
        <is>
          <t>AI-only</t>
        </is>
      </c>
    </row>
    <row r="83">
      <c r="A83" s="245" t="inlineStr">
        <is>
          <t>Wed 21 Oct</t>
        </is>
      </c>
      <c r="B83" s="245" t="inlineStr">
        <is>
          <t>SEO deployment and Search Console sitemap validation; landing page defects</t>
        </is>
      </c>
      <c r="C83" s="245" t="inlineStr">
        <is>
          <t>Conditional Launch Scope: SEO basics, Landing page</t>
        </is>
      </c>
      <c r="D83" s="245" t="inlineStr">
        <is>
          <t>O11</t>
        </is>
      </c>
    </row>
    <row r="84">
      <c r="A84" s="245" t="inlineStr">
        <is>
          <t>Wed 21 Oct</t>
        </is>
      </c>
      <c r="B84" s="245" t="inlineStr">
        <is>
          <t>Legal and promise gate: Terms/Privacy final owner review, Beta 30-day notice wording, Local Mode/expiry/quota promises</t>
        </is>
      </c>
      <c r="C84" s="245" t="inlineStr">
        <is>
          <t>Legal and promise gate</t>
        </is>
      </c>
      <c r="D84" s="245" t="inlineStr">
        <is>
          <t>AI-only</t>
        </is>
      </c>
    </row>
    <row r="85">
      <c r="A85" s="245" t="inlineStr">
        <is>
          <t>Thu 22 Oct</t>
        </is>
      </c>
      <c r="B85" s="245" t="inlineStr">
        <is>
          <t>Durable Stripe event ledger: replay every supported event at least 3 times; entitlements, dates, Founder counts, emails change exactly once</t>
        </is>
      </c>
      <c r="C85" s="245" t="inlineStr">
        <is>
          <t>QA_PLAN Priority -1: Billing</t>
        </is>
      </c>
      <c r="D85" s="245" t="inlineStr">
        <is>
          <t>AI-only</t>
        </is>
      </c>
    </row>
    <row r="86">
      <c r="A86" s="245" t="inlineStr">
        <is>
          <t>Thu 22 Oct</t>
        </is>
      </c>
      <c r="B86" s="245" t="inlineStr">
        <is>
          <t>Price/quota matrix (GBP 10 / 99 / 299 / 6) matches Stripe test Price objects and Checkout line items; repo search for stale prices</t>
        </is>
      </c>
      <c r="C86" s="245" t="inlineStr">
        <is>
          <t>QA_PLAN Priority -1: Billing</t>
        </is>
      </c>
      <c r="D86" s="245" t="inlineStr">
        <is>
          <t>AI-only</t>
        </is>
      </c>
    </row>
    <row r="87">
      <c r="A87" s="245" t="inlineStr">
        <is>
          <t>Thu 22 Oct</t>
        </is>
      </c>
      <c r="B87" s="245" t="inlineStr">
        <is>
          <t>Remove/migrate the temporary paid-interest 'coming soon' flow and its automatic Beta entitlement; real checkout CTAs behind a launch switch</t>
        </is>
      </c>
      <c r="C87" s="245" t="inlineStr">
        <is>
          <t>PAYMENT_ROADMAP section 3 / QA_PLAN Priority -1</t>
        </is>
      </c>
      <c r="D87" s="245" t="inlineStr">
        <is>
          <t>AI-only</t>
        </is>
      </c>
    </row>
    <row r="88">
      <c r="A88" s="245" t="inlineStr">
        <is>
          <t>Thu 22 Oct</t>
        </is>
      </c>
      <c r="B88" s="245" t="inlineStr">
        <is>
          <t>Founder concurrency: simultaneous checkouts never exceed the approved cap</t>
        </is>
      </c>
      <c r="C88" s="245" t="inlineStr">
        <is>
          <t>QA_PLAN Priority -1: Billing</t>
        </is>
      </c>
      <c r="D88" s="245" t="inlineStr">
        <is>
          <t>AI-only</t>
        </is>
      </c>
    </row>
    <row r="89">
      <c r="A89" s="245" t="inlineStr">
        <is>
          <t>Thu 22 Oct</t>
        </is>
      </c>
      <c r="B89" s="245" t="inlineStr">
        <is>
          <t>Prepare the exact Vercel test-mode secrets swap and return-to-live checklist (names only, never values)</t>
        </is>
      </c>
      <c r="C89" s="245" t="inlineStr">
        <is>
          <t>PAYMENT_ROADMAP section 2</t>
        </is>
      </c>
      <c r="D89" s="245" t="inlineStr">
        <is>
          <t>O12</t>
        </is>
      </c>
    </row>
    <row r="90">
      <c r="A90" s="245" t="inlineStr">
        <is>
          <t>Fri 23 Oct</t>
        </is>
      </c>
      <c r="B90" s="245" t="inlineStr">
        <is>
          <t>GBP 6 hosting renewal, failure/cancel checks, async payments, out-of-order webhooks</t>
        </is>
      </c>
      <c r="C90" s="245" t="inlineStr">
        <is>
          <t>PAYMENT_ROADMAP section 2 steps 10-11</t>
        </is>
      </c>
      <c r="D90" s="245" t="inlineStr">
        <is>
          <t>AI-only</t>
        </is>
      </c>
    </row>
    <row r="91">
      <c r="A91" s="245" t="inlineStr">
        <is>
          <t>Fri 23 Oct</t>
        </is>
      </c>
      <c r="B91" s="245" t="inlineStr">
        <is>
          <t>Live-account QA of the 'Downgrade to Free' fix for manually-upgraded accounts and real Stripe portal unaffected</t>
        </is>
      </c>
      <c r="C91" s="245" t="inlineStr">
        <is>
          <t>PAYMENT_ROADMAP section 2 step 12</t>
        </is>
      </c>
      <c r="D91" s="245" t="inlineStr">
        <is>
          <t>AI-only</t>
        </is>
      </c>
    </row>
    <row r="92">
      <c r="A92" s="245" t="inlineStr">
        <is>
          <t>Sat 24 Oct</t>
        </is>
      </c>
      <c r="B92" s="245" t="inlineStr">
        <is>
          <t>Return-to-live prepared: swap back to live secrets/prices/webhook is a written one-step runbook; live configuration review without a purchase</t>
        </is>
      </c>
      <c r="C92" s="245" t="inlineStr">
        <is>
          <t>PAYMENT_ROADMAP section 2 step 13</t>
        </is>
      </c>
      <c r="D92" s="245" t="inlineStr">
        <is>
          <t>O12</t>
        </is>
      </c>
    </row>
    <row r="93">
      <c r="A93" s="245" t="inlineStr">
        <is>
          <t>Sat 24 Oct</t>
        </is>
      </c>
      <c r="B93" s="245" t="inlineStr">
        <is>
          <t>Prepared release sets YOW_BETA_ENROLLMENT_CLOSED=true and stamps beta_notice_started_at to the launch timestamp; existing testers keep access/exports</t>
        </is>
      </c>
      <c r="C93" s="245" t="inlineStr">
        <is>
          <t>Owner launch handoff: Beta</t>
        </is>
      </c>
      <c r="D93" s="245" t="inlineStr">
        <is>
          <t>O13</t>
        </is>
      </c>
    </row>
    <row r="94">
      <c r="A94" s="245" t="inlineStr">
        <is>
          <t>Sat 24 Oct</t>
        </is>
      </c>
      <c r="B94" s="245" t="inlineStr">
        <is>
          <t>Support inbox and email checks: support@ and founders@ receive and can reply; welcome/reset emails come from the right sender</t>
        </is>
      </c>
      <c r="C94" s="245" t="inlineStr">
        <is>
          <t>Owner launch handoff: Support/privacy</t>
        </is>
      </c>
      <c r="D94" s="245" t="inlineStr">
        <is>
          <t>O14</t>
        </is>
      </c>
    </row>
    <row r="95">
      <c r="A95" s="245" t="inlineStr">
        <is>
          <t>Fri 30 Oct</t>
        </is>
      </c>
      <c r="B95" s="245" t="inlineStr">
        <is>
          <t>Final Launch Readiness Gate table update: every gate Passed with evidence or an explicit re-decision; production-deploy checks queued for 1 Nov</t>
        </is>
      </c>
      <c r="C95" s="245" t="inlineStr">
        <is>
          <t>Launch Readiness Gate</t>
        </is>
      </c>
      <c r="D95" s="245" t="inlineStr">
        <is>
          <t>AI-only</t>
        </is>
      </c>
    </row>
    <row r="96">
      <c r="A96" s="245" t="inlineStr">
        <is>
          <t>Sat 31 Oct</t>
        </is>
      </c>
      <c r="B96" s="245" t="inlineStr">
        <is>
          <t>Supabase and project backups taken and restore-tested; checkout-disable switch and rollback tested on the rehearsal</t>
        </is>
      </c>
      <c r="C96" s="245" t="inlineStr">
        <is>
          <t>QA_PLAN Priority 12</t>
        </is>
      </c>
      <c r="D96" s="245" t="inlineStr">
        <is>
          <t>AI-only</t>
        </is>
      </c>
    </row>
    <row r="97">
      <c r="A97" s="245" t="inlineStr">
        <is>
          <t>Sun 1 Nov</t>
        </is>
      </c>
      <c r="B97" s="245" t="inlineStr">
        <is>
          <t>Post-deploy production checks: security headers, canonical redirect, Founder slot display, checkout, entitlement, save/export</t>
        </is>
      </c>
      <c r="C97" s="245" t="inlineStr">
        <is>
          <t>QA_PLAN Priority 11-12</t>
        </is>
      </c>
      <c r="D97" s="245" t="inlineStr">
        <is>
          <t>O15</t>
        </is>
      </c>
    </row>
    <row r="98">
      <c r="A98" s="245" t="inlineStr">
        <is>
          <t>Mon 2 Nov</t>
        </is>
      </c>
      <c r="B98" s="245" t="inlineStr">
        <is>
          <t>Search Console/analytics/support monitoring active; approved marketing prepared for the owner to publish</t>
        </is>
      </c>
      <c r="C98" s="245" t="inlineStr">
        <is>
          <t>Launch plan</t>
        </is>
      </c>
      <c r="D98" s="245" t="inlineStr">
        <is>
          <t>AI-only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6" customWidth="1" min="1" max="1"/>
    <col width="80" customWidth="1" min="2" max="2"/>
    <col width="30" customWidth="1" min="3" max="3"/>
    <col width="10" customWidth="1" min="4" max="4"/>
    <col width="12" customWidth="1" min="5" max="5"/>
    <col width="12" customWidth="1" min="6" max="6"/>
    <col width="10" customWidth="1" min="7" max="7"/>
    <col width="13" customWidth="1" min="8" max="8"/>
    <col width="40" customWidth="1" min="9" max="9"/>
  </cols>
  <sheetData>
    <row r="1">
      <c r="A1" s="243" t="inlineStr">
        <is>
          <t>Owner overflow — extra checks that need you, each scheduled on a day with spare time. "Deadline" is the latest date it can still be done without delaying a gate.</t>
        </is>
      </c>
    </row>
    <row r="3">
      <c r="A3" s="244" t="inlineStr">
        <is>
          <t>ID</t>
        </is>
      </c>
      <c r="B3" s="244" t="inlineStr">
        <is>
          <t>What you do (AI prepares one-step instructions first)</t>
        </is>
      </c>
      <c r="C3" s="244" t="inlineStr">
        <is>
          <t>Needs</t>
        </is>
      </c>
      <c r="D3" s="244" t="inlineStr">
        <is>
          <t>Est. minutes</t>
        </is>
      </c>
      <c r="E3" s="244" t="inlineStr">
        <is>
          <t>Scheduled day</t>
        </is>
      </c>
      <c r="F3" s="244" t="inlineStr">
        <is>
          <t>Deadline</t>
        </is>
      </c>
      <c r="G3" s="244" t="inlineStr">
        <is>
          <t>Hard gate?</t>
        </is>
      </c>
      <c r="H3" s="244" t="inlineStr">
        <is>
          <t>Status</t>
        </is>
      </c>
      <c r="I3" s="244" t="inlineStr">
        <is>
          <t>Notes / evidence</t>
        </is>
      </c>
    </row>
    <row r="4">
      <c r="A4" s="245" t="inlineStr">
        <is>
          <t>O01</t>
        </is>
      </c>
      <c r="B4" s="245" t="inlineStr">
        <is>
          <t>Create a brand-new test account and walk the first-run flow: sample-project prompt, exactly one Sample Project, tours dismissed stay dismissed on a fresh browser, clean AI setup message.</t>
        </is>
      </c>
      <c r="C4" s="245" t="inlineStr">
        <is>
          <t>Test alias email + second browser</t>
        </is>
      </c>
      <c r="D4" s="245" t="n">
        <v>40</v>
      </c>
      <c r="E4" s="246" t="n">
        <v>46298</v>
      </c>
      <c r="F4" s="246" t="n">
        <v>46299</v>
      </c>
      <c r="G4" s="245" t="inlineStr">
        <is>
          <t>Yes</t>
        </is>
      </c>
      <c r="H4" s="245" t="inlineStr">
        <is>
          <t>Not started</t>
        </is>
      </c>
      <c r="I4" s="245" t="inlineStr"/>
    </row>
    <row r="5">
      <c r="A5" s="245" t="inlineStr">
        <is>
          <t>O02</t>
        </is>
      </c>
      <c r="B5" s="245" t="inlineStr">
        <is>
          <t>Supabase dashboard: switch on leaked-password protection (if your plan offers it). The AI handles the duplicate scenes-policy clean-up separately.</t>
        </is>
      </c>
      <c r="C5" s="245" t="inlineStr">
        <is>
          <t>Supabase dashboard (guided)</t>
        </is>
      </c>
      <c r="D5" s="245" t="n">
        <v>15</v>
      </c>
      <c r="E5" s="246" t="n">
        <v>46298</v>
      </c>
      <c r="F5" s="246" t="n">
        <v>46304</v>
      </c>
      <c r="G5" s="245" t="inlineStr">
        <is>
          <t>No</t>
        </is>
      </c>
      <c r="H5" s="245" t="inlineStr">
        <is>
          <t>Done</t>
        </is>
      </c>
      <c r="I5" s="245" t="inlineStr">
        <is>
          <t>Leaked-password protection not offered on current plan (owner 30 Sep). Accepted Advisor warning; AI verifies password policy on 9 Oct.</t>
        </is>
      </c>
    </row>
    <row r="6">
      <c r="A6" s="245" t="inlineStr">
        <is>
          <t>O03</t>
        </is>
      </c>
      <c r="B6" s="245" t="inlineStr">
        <is>
          <t>Supabase read-only check after deleting a disposable project: confirm zero scene rows remain for it.</t>
        </is>
      </c>
      <c r="C6" s="245" t="inlineStr">
        <is>
          <t>Supabase dashboard (guided, read-only)</t>
        </is>
      </c>
      <c r="D6" s="245" t="n">
        <v>10</v>
      </c>
      <c r="E6" s="246" t="n">
        <v>46298</v>
      </c>
      <c r="F6" s="246" t="n">
        <v>46300</v>
      </c>
      <c r="G6" s="245" t="inlineStr">
        <is>
          <t>Yes</t>
        </is>
      </c>
      <c r="H6" s="245" t="inlineStr">
        <is>
          <t>Not started</t>
        </is>
      </c>
      <c r="I6" s="245" t="inlineStr"/>
    </row>
    <row r="7">
      <c r="A7" s="245" t="inlineStr">
        <is>
          <t>O14</t>
        </is>
      </c>
      <c r="B7" s="245" t="inlineStr">
        <is>
          <t>Send a test email to support@yourownworld.co.uk and founders@yourownworld.co.uk, reply from each mailbox, and confirm both arrive and the reply shows the right sender.</t>
        </is>
      </c>
      <c r="C7" s="245" t="inlineStr">
        <is>
          <t>Your mailboxes</t>
        </is>
      </c>
      <c r="D7" s="245" t="n">
        <v>15</v>
      </c>
      <c r="E7" s="246" t="n">
        <v>46298</v>
      </c>
      <c r="F7" s="246" t="n">
        <v>46324</v>
      </c>
      <c r="G7" s="245" t="inlineStr">
        <is>
          <t>No</t>
        </is>
      </c>
      <c r="H7" s="245" t="inlineStr">
        <is>
          <t>Done</t>
        </is>
      </c>
      <c r="I7" s="245" t="inlineStr">
        <is>
          <t>Both test emails arrived; reply sender showed 'Morgan Bishop, yourownworld.admin@gmail.com' instead of the support@/founders@ address. Follow-up O16.</t>
        </is>
      </c>
    </row>
    <row r="8">
      <c r="A8" s="245" t="inlineStr">
        <is>
          <t>O16</t>
        </is>
      </c>
      <c r="B8" s="245" t="inlineStr">
        <is>
          <t>Make replies from support@ and founders@ show the YOW address instead of the personal Gmail (Gmail 'Send mail as'). Tell me how support@ receives mail first; steps depend on that.</t>
        </is>
      </c>
      <c r="C8" s="245" t="inlineStr">
        <is>
          <t>Gmail settings + domain mail setup</t>
        </is>
      </c>
      <c r="D8" s="245" t="n">
        <v>20</v>
      </c>
      <c r="E8" s="246" t="n">
        <v>46298</v>
      </c>
      <c r="F8" s="246" t="n">
        <v>46324</v>
      </c>
      <c r="G8" s="245" t="inlineStr">
        <is>
          <t>No</t>
        </is>
      </c>
      <c r="H8" s="245" t="inlineStr">
        <is>
          <t>Not started</t>
        </is>
      </c>
      <c r="I8" s="245" t="inlineStr"/>
    </row>
    <row r="9">
      <c r="A9" s="245" t="inlineStr">
        <is>
          <t>O04</t>
        </is>
      </c>
      <c r="B9" s="245" t="inlineStr">
        <is>
          <t>Two real browser tabs on the same test account: structured-record clobber test and the same-scene race repro.</t>
        </is>
      </c>
      <c r="C9" s="245" t="inlineStr">
        <is>
          <t>Two tabs, test account</t>
        </is>
      </c>
      <c r="D9" s="245" t="n">
        <v>30</v>
      </c>
      <c r="E9" s="246" t="n">
        <v>46300</v>
      </c>
      <c r="F9" s="246" t="n">
        <v>46300</v>
      </c>
      <c r="G9" s="245" t="inlineStr">
        <is>
          <t>Yes</t>
        </is>
      </c>
      <c r="H9" s="245" t="inlineStr">
        <is>
          <t>Not started</t>
        </is>
      </c>
      <c r="I9" s="245" t="inlineStr"/>
    </row>
    <row r="10">
      <c r="A10" s="245" t="inlineStr">
        <is>
          <t>O05</t>
        </is>
      </c>
      <c r="B10" s="245" t="inlineStr">
        <is>
          <t>Live rate-limit check: send 6 feedback requests from one connection, confirm the 6th is refused and the block clears.</t>
        </is>
      </c>
      <c r="C10" s="245" t="inlineStr">
        <is>
          <t>Production site (guided)</t>
        </is>
      </c>
      <c r="D10" s="245" t="n">
        <v>20</v>
      </c>
      <c r="E10" s="246" t="n">
        <v>46300</v>
      </c>
      <c r="F10" s="246" t="n">
        <v>46300</v>
      </c>
      <c r="G10" s="245" t="inlineStr">
        <is>
          <t>No</t>
        </is>
      </c>
      <c r="H10" s="245" t="inlineStr">
        <is>
          <t>Not started</t>
        </is>
      </c>
      <c r="I10" s="245" t="inlineStr"/>
    </row>
    <row r="11">
      <c r="A11" s="245" t="inlineStr">
        <is>
          <t>O06</t>
        </is>
      </c>
      <c r="B11" s="245" t="inlineStr">
        <is>
          <t>Arrange a clean Windows PC (or rented cloud Windows PC) for 17 Oct and tell me the Windows version.</t>
        </is>
      </c>
      <c r="C11" s="245" t="inlineStr">
        <is>
          <t>Windows machine</t>
        </is>
      </c>
      <c r="D11" s="245" t="n">
        <v>60</v>
      </c>
      <c r="E11" s="246" t="n">
        <v>46305</v>
      </c>
      <c r="F11" s="246" t="n">
        <v>46305</v>
      </c>
      <c r="G11" s="245" t="inlineStr">
        <is>
          <t>Yes</t>
        </is>
      </c>
      <c r="H11" s="245" t="inlineStr">
        <is>
          <t>Not started</t>
        </is>
      </c>
      <c r="I11" s="245" t="inlineStr"/>
    </row>
    <row r="12">
      <c r="A12" s="245" t="inlineStr">
        <is>
          <t>O08</t>
        </is>
      </c>
      <c r="B12" s="245" t="inlineStr">
        <is>
          <t>Upload larger images to a disposable project on a real account and confirm the storage figure and cap behaviour.</t>
        </is>
      </c>
      <c r="C12" s="245" t="inlineStr">
        <is>
          <t>Test account</t>
        </is>
      </c>
      <c r="D12" s="245" t="n">
        <v>20</v>
      </c>
      <c r="E12" s="246" t="n">
        <v>46305</v>
      </c>
      <c r="F12" s="246" t="n">
        <v>46309</v>
      </c>
      <c r="G12" s="245" t="inlineStr">
        <is>
          <t>Yes</t>
        </is>
      </c>
      <c r="H12" s="245" t="inlineStr">
        <is>
          <t>Not started</t>
        </is>
      </c>
      <c r="I12" s="245" t="inlineStr"/>
    </row>
    <row r="13">
      <c r="A13" s="245" t="inlineStr">
        <is>
          <t>O09</t>
        </is>
      </c>
      <c r="B13" s="245" t="inlineStr">
        <is>
          <t>On a real account with a two-project series, check Characters, Locations, Lore and Timeline sync forward to the second project.</t>
        </is>
      </c>
      <c r="C13" s="245" t="inlineStr">
        <is>
          <t>Test account with a series</t>
        </is>
      </c>
      <c r="D13" s="245" t="n">
        <v>45</v>
      </c>
      <c r="E13" s="246" t="n">
        <v>46305</v>
      </c>
      <c r="F13" s="246" t="n">
        <v>46311</v>
      </c>
      <c r="G13" s="245" t="inlineStr">
        <is>
          <t>No</t>
        </is>
      </c>
      <c r="H13" s="245" t="inlineStr">
        <is>
          <t>Not started</t>
        </is>
      </c>
      <c r="I13" s="245" t="inlineStr"/>
    </row>
    <row r="14">
      <c r="A14" s="245" t="inlineStr">
        <is>
          <t>O10</t>
        </is>
      </c>
      <c r="B14" s="245" t="inlineStr">
        <is>
          <t>Firefox and Safari passes at phone/tablet/desktop widths plus a VoiceOver and keyboard-only run. Runs inside the 18 Oct device blocks.</t>
        </is>
      </c>
      <c r="C14" s="245" t="inlineStr">
        <is>
          <t>Firefox, Safari, VoiceOver</t>
        </is>
      </c>
      <c r="D14" s="245" t="n">
        <v>90</v>
      </c>
      <c r="E14" s="246" t="n">
        <v>46313</v>
      </c>
      <c r="F14" s="246" t="n">
        <v>46313</v>
      </c>
      <c r="G14" s="245" t="inlineStr">
        <is>
          <t>No</t>
        </is>
      </c>
      <c r="H14" s="245" t="inlineStr">
        <is>
          <t>Not started</t>
        </is>
      </c>
      <c r="I14" s="245" t="inlineStr"/>
    </row>
    <row r="15">
      <c r="A15" s="245" t="inlineStr">
        <is>
          <t>O07</t>
        </is>
      </c>
      <c r="B15" s="245" t="inlineStr">
        <is>
          <t>Your own OpenRouter and OpenAI keys (never pasted into chat): DM/GM framing, key isolation across two accounts, context controls. Runs inside the 19-20 Oct owner blocks. Other providers are not tested.</t>
        </is>
      </c>
      <c r="C15" s="245" t="inlineStr">
        <is>
          <t>Your AI key + two test accounts</t>
        </is>
      </c>
      <c r="D15" s="245" t="n">
        <v>60</v>
      </c>
      <c r="E15" s="246" t="n">
        <v>46314</v>
      </c>
      <c r="F15" s="246" t="n">
        <v>46315</v>
      </c>
      <c r="G15" s="245" t="inlineStr">
        <is>
          <t>Yes</t>
        </is>
      </c>
      <c r="H15" s="245" t="inlineStr">
        <is>
          <t>Not started</t>
        </is>
      </c>
      <c r="I15" s="245" t="inlineStr"/>
    </row>
    <row r="16">
      <c r="A16" s="245" t="inlineStr">
        <is>
          <t>O11</t>
        </is>
      </c>
      <c r="B16" s="245" t="inlineStr">
        <is>
          <t>Search Console: confirm the sitemap is read after deploy and request indexing for the key pages.</t>
        </is>
      </c>
      <c r="C16" s="245" t="inlineStr">
        <is>
          <t>Search Console</t>
        </is>
      </c>
      <c r="D16" s="245" t="n">
        <v>10</v>
      </c>
      <c r="E16" s="246" t="n">
        <v>46319</v>
      </c>
      <c r="F16" s="246" t="n">
        <v>46321</v>
      </c>
      <c r="G16" s="245" t="inlineStr">
        <is>
          <t>No</t>
        </is>
      </c>
      <c r="H16" s="245" t="inlineStr">
        <is>
          <t>Not started</t>
        </is>
      </c>
      <c r="I16" s="245" t="inlineStr"/>
    </row>
    <row r="17">
      <c r="A17" s="245" t="inlineStr">
        <is>
          <t>O12</t>
        </is>
      </c>
      <c r="B17" s="245" t="inlineStr">
        <is>
          <t>Stripe and Vercel dashboards (guided, names only): confirm live keys/prices/webhook events are ready for launch, without a purchase.</t>
        </is>
      </c>
      <c r="C17" s="245" t="inlineStr">
        <is>
          <t>Stripe + Vercel dashboards</t>
        </is>
      </c>
      <c r="D17" s="245" t="n">
        <v>30</v>
      </c>
      <c r="E17" s="246" t="n">
        <v>46320</v>
      </c>
      <c r="F17" s="246" t="n">
        <v>46324</v>
      </c>
      <c r="G17" s="245" t="inlineStr">
        <is>
          <t>Yes</t>
        </is>
      </c>
      <c r="H17" s="245" t="inlineStr">
        <is>
          <t>Not started</t>
        </is>
      </c>
      <c r="I17" s="245" t="inlineStr"/>
    </row>
    <row r="18">
      <c r="A18" s="245" t="inlineStr">
        <is>
          <t>O13</t>
        </is>
      </c>
      <c r="B18" s="245" t="inlineStr">
        <is>
          <t>Vercel: confirm the Beta-close setting exists (name only, do not enable it yet) and approve the Beta-close timestamp plan.</t>
        </is>
      </c>
      <c r="C18" s="245" t="inlineStr">
        <is>
          <t>Vercel dashboard (guided)</t>
        </is>
      </c>
      <c r="D18" s="245" t="n">
        <v>10</v>
      </c>
      <c r="E18" s="246" t="n">
        <v>46320</v>
      </c>
      <c r="F18" s="246" t="n">
        <v>46324</v>
      </c>
      <c r="G18" s="245" t="inlineStr">
        <is>
          <t>Yes</t>
        </is>
      </c>
      <c r="H18" s="245" t="inlineStr">
        <is>
          <t>Not started</t>
        </is>
      </c>
      <c r="I18" s="245" t="inlineStr"/>
    </row>
    <row r="19">
      <c r="A19" s="245" t="inlineStr">
        <is>
          <t>O15</t>
        </is>
      </c>
      <c r="B19" s="245" t="inlineStr">
        <is>
          <t>After deploy on 1 Nov: open the live site DevTools and confirm headers, the www redirect, and one Founder slot display.</t>
        </is>
      </c>
      <c r="C19" s="245" t="inlineStr">
        <is>
          <t>Production site (guided)</t>
        </is>
      </c>
      <c r="D19" s="245" t="n">
        <v>15</v>
      </c>
      <c r="E19" s="246" t="n">
        <v>46327</v>
      </c>
      <c r="F19" s="246" t="n">
        <v>46327</v>
      </c>
      <c r="G19" s="245" t="inlineStr">
        <is>
          <t>Yes</t>
        </is>
      </c>
      <c r="H19" s="245" t="inlineStr">
        <is>
          <t>Not started</t>
        </is>
      </c>
      <c r="I19" s="245" t="inlineStr"/>
    </row>
    <row r="21">
      <c r="C21" t="inlineStr">
        <is>
          <t>Total minutes</t>
        </is>
      </c>
      <c r="D21">
        <f>SUM(D4:D19)</f>
        <v/>
      </c>
    </row>
    <row r="22">
      <c r="C22" t="inlineStr">
        <is>
          <t>Remaining minutes</t>
        </is>
      </c>
      <c r="D22">
        <f>SUMIF(H4:H19,"&lt;&gt;Done",D4:D19)</f>
        <v/>
      </c>
    </row>
  </sheetData>
  <dataValidations count="1">
    <dataValidation sqref="H4:H19" showDropDown="0" showInputMessage="0" showErrorMessage="0" allowBlank="1" type="list">
      <formula1>"Not started,In progress,Done,Blocked"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80" customWidth="1" min="2" max="2"/>
    <col width="55" customWidth="1" min="3" max="3"/>
    <col width="12" customWidth="1" min="4" max="4"/>
    <col width="30" customWidth="1" min="5" max="5"/>
    <col width="10" customWidth="1" min="6" max="6"/>
  </cols>
  <sheetData>
    <row r="1">
      <c r="A1" s="243" t="inlineStr">
        <is>
          <t>Decisions only you can make — with my recommended default. If you do not answer by the date, the AI proceeds with the default.</t>
        </is>
      </c>
    </row>
    <row r="3">
      <c r="A3" s="244" t="inlineStr">
        <is>
          <t>ID</t>
        </is>
      </c>
      <c r="B3" s="244" t="inlineStr">
        <is>
          <t>Decision</t>
        </is>
      </c>
      <c r="C3" s="244" t="inlineStr">
        <is>
          <t>Recommended default</t>
        </is>
      </c>
      <c r="D3" s="244" t="inlineStr">
        <is>
          <t>Decide by</t>
        </is>
      </c>
      <c r="E3" s="244" t="inlineStr">
        <is>
          <t>Your decision</t>
        </is>
      </c>
      <c r="F3" s="244" t="inlineStr">
        <is>
          <t>Status</t>
        </is>
      </c>
    </row>
    <row r="4">
      <c r="A4" s="245" t="inlineStr">
        <is>
          <t>D5</t>
        </is>
      </c>
      <c r="B4" s="245" t="inlineStr">
        <is>
          <t>Which AI providers does launch advertise?</t>
        </is>
      </c>
      <c r="C4" s="245" t="inlineStr">
        <is>
          <t>OpenRouter and OpenAI only.</t>
        </is>
      </c>
      <c r="D4" s="246" t="n">
        <v>46295</v>
      </c>
      <c r="E4" s="245" t="inlineStr">
        <is>
          <t>Advertise and support only OpenRouter and OpenAI (the providers the owner can access and test). Other providers are not advertised, not live-tested, and labelled 'not tested' in the app (default treatment, see D9).</t>
        </is>
      </c>
      <c r="F4" s="245" t="inlineStr">
        <is>
          <t>Decided</t>
        </is>
      </c>
    </row>
    <row r="5">
      <c r="A5" s="245" t="inlineStr">
        <is>
          <t>D2</t>
        </is>
      </c>
      <c r="B5" s="245" t="inlineStr">
        <is>
          <t>JavaScript type checking, React-compiler warnings and stricter CI gates: do they block launch?</t>
        </is>
      </c>
      <c r="C5" s="245" t="inlineStr">
        <is>
          <t>Park until after launch; quality hardening, not one of the seven blocker categories.</t>
        </is>
      </c>
      <c r="D5" s="246" t="n">
        <v>46298</v>
      </c>
      <c r="E5" s="245" t="inlineStr">
        <is>
          <t>Accepted default: parked until after launch.</t>
        </is>
      </c>
      <c r="F5" s="245" t="inlineStr">
        <is>
          <t>Decided</t>
        </is>
      </c>
    </row>
    <row r="6">
      <c r="A6" s="245" t="inlineStr">
        <is>
          <t>D3</t>
        </is>
      </c>
      <c r="B6" s="245" t="inlineStr">
        <is>
          <t>Desktop vault encryption at rest: encrypt, or launch unencrypted with clear disclosure?</t>
        </is>
      </c>
      <c r="C6" s="245" t="inlineStr">
        <is>
          <t>Launch with disclosure and record the decision; revisit later.</t>
        </is>
      </c>
      <c r="D6" s="246" t="n">
        <v>46301</v>
      </c>
      <c r="E6" s="245" t="inlineStr">
        <is>
          <t>Accepted default: launch with disclosure; record the decision.</t>
        </is>
      </c>
      <c r="F6" s="245" t="inlineStr">
        <is>
          <t>Decided</t>
        </is>
      </c>
    </row>
    <row r="7">
      <c r="A7" s="245" t="inlineStr">
        <is>
          <t>D1</t>
        </is>
      </c>
      <c r="B7" s="245" t="inlineStr">
        <is>
          <t>A very large scene (30k+ words) with a note attached types slowly. Fixing it properly is a large change. Build it, or launch with a documented soft limit and in-app warning?</t>
        </is>
      </c>
      <c r="C7" s="245" t="inlineStr">
        <is>
          <t>Ship a documented limit and warning; keep the large fix for after launch (not a data-loss or broken-save blocker).</t>
        </is>
      </c>
      <c r="D7" s="246" t="n">
        <v>46307</v>
      </c>
      <c r="E7" s="245" t="inlineStr">
        <is>
          <t>Accepted default: ship a documented limit and in-app warning for very large scenes; full fix after launch.</t>
        </is>
      </c>
      <c r="F7" s="245" t="inlineStr">
        <is>
          <t>Decided</t>
        </is>
      </c>
    </row>
    <row r="8">
      <c r="A8" s="245" t="inlineStr">
        <is>
          <t>D4</t>
        </is>
      </c>
      <c r="B8" s="245" t="inlineStr">
        <is>
          <t>If Windows fails its clean-machine test on 17 Oct: delay launch, or launch Mac-only with Windows following?</t>
        </is>
      </c>
      <c r="C8" s="245" t="inlineStr">
        <is>
          <t>Decide now; Lifetime is promised for macOS and Windows. Recommended: delay only if Windows data-loss/save/export fails; otherwise fix and retest in the buffer.</t>
        </is>
      </c>
      <c r="D8" s="246" t="n">
        <v>46311</v>
      </c>
      <c r="E8" s="245" t="inlineStr">
        <is>
          <t>Accepted default: delay only if Windows data-loss/save/export fails; otherwise fix and retest in the buffer.</t>
        </is>
      </c>
      <c r="F8" s="245" t="inlineStr">
        <is>
          <t>Decided</t>
        </is>
      </c>
    </row>
    <row r="9">
      <c r="A9" s="245" t="inlineStr">
        <is>
          <t>D9</t>
        </is>
      </c>
      <c r="B9" s="245" t="inlineStr">
        <is>
          <t>Follow-on to D5: what happens to the other providers already in the app (Google, Anthropic, Groq, Mistral, Together)?</t>
        </is>
      </c>
      <c r="C9" s="245" t="inlineStr">
        <is>
          <t>Keep working but labelled 'not tested / not officially supported'; nothing advertised. (Alternative: hide them.)</t>
        </is>
      </c>
      <c r="D9" s="246" t="n">
        <v>46311</v>
      </c>
      <c r="E9" s="245" t="inlineStr">
        <is>
          <t>Accepted default (follow-on to D5): keep the other providers' code working but label them 'not tested / not officially supported' in the AI settings picker and remove them from all marketing and docs. Owner can instead ask for them to be hidden.</t>
        </is>
      </c>
      <c r="F9" s="245" t="inlineStr">
        <is>
          <t>Decided</t>
        </is>
      </c>
    </row>
    <row r="10">
      <c r="A10" s="245" t="inlineStr">
        <is>
          <t>D10</t>
        </is>
      </c>
      <c r="B10" s="245" t="inlineStr">
        <is>
          <t>Replies to customers currently come from yourownworld.admin@gmail.com (shown as 'Morgan Bishop'), not support@/founders@yourownworld.co.uk, which the Terms and Privacy pages publish. Fix before launch, or accept?</t>
        </is>
      </c>
      <c r="C10" s="245" t="inlineStr">
        <is>
          <t>Fix before launch (O16): it keeps the published support address consistent and avoids replies landing in spam.</t>
        </is>
      </c>
      <c r="D10" s="246" t="n">
        <v>46315</v>
      </c>
      <c r="E10" s="245" t="inlineStr">
        <is>
          <t>Open - owner to decide; default is to fix via O16.</t>
        </is>
      </c>
      <c r="F10" s="245" t="inlineStr">
        <is>
          <t>Open</t>
        </is>
      </c>
    </row>
    <row r="11">
      <c r="A11" s="245" t="inlineStr">
        <is>
          <t>D8</t>
        </is>
      </c>
      <c r="B11" s="245" t="inlineStr">
        <is>
          <t>Resume Stripe work: the roadmap parked payments (18 Sep); this sprint schedules 21-24 Oct for it.</t>
        </is>
      </c>
      <c r="C11" s="245" t="inlineStr">
        <is>
          <t>Confirm; PAYMENT_ROADMAP.md stays the Stripe tracker while the sprint drives the schedule.</t>
        </is>
      </c>
      <c r="D11" s="246" t="n">
        <v>46315</v>
      </c>
      <c r="E11" s="245" t="inlineStr">
        <is>
          <t>Accepted default: Stripe work resumes 21-25 Oct; PAYMENT_ROADMAP.md stays the tracker.</t>
        </is>
      </c>
      <c r="F11" s="245" t="inlineStr">
        <is>
          <t>Decided</t>
        </is>
      </c>
    </row>
    <row r="12">
      <c r="A12" s="245" t="inlineStr">
        <is>
          <t>D7</t>
        </is>
      </c>
      <c r="B12" s="245" t="inlineStr">
        <is>
          <t>Remove the temporary 'Paid plans are coming soon' interest flow when checkout goes live?</t>
        </is>
      </c>
      <c r="C12" s="245" t="inlineStr">
        <is>
          <t>Yes, remove it; it grants automatic Beta access and conflicts with real checkout.</t>
        </is>
      </c>
      <c r="D12" s="246" t="n">
        <v>46316</v>
      </c>
      <c r="E12" s="245" t="inlineStr">
        <is>
          <t>Accepted default: remove the 'coming soon' interest flow when checkout goes live.</t>
        </is>
      </c>
      <c r="F12" s="245" t="inlineStr">
        <is>
          <t>Decided</t>
        </is>
      </c>
    </row>
    <row r="13">
      <c r="A13" s="245" t="inlineStr">
        <is>
          <t>D6</t>
        </is>
      </c>
      <c r="B13" s="245" t="inlineStr">
        <is>
          <t>Latest date you would still accept a launch slip, and the fallback date.</t>
        </is>
      </c>
      <c r="C13" s="245" t="inlineStr">
        <is>
          <t>Pick a cut-off by 25 Oct so nothing is decided under pressure. Launch stays 1-2 Nov unless a gate fails.</t>
        </is>
      </c>
      <c r="D13" s="246" t="n">
        <v>46320</v>
      </c>
      <c r="E13" s="245" t="inlineStr">
        <is>
          <t>Accepted default: launch date is fixed at 1 Nov (quiet release; public 2 Nov). Owner to name a fallback date by 25 Oct.</t>
        </is>
      </c>
      <c r="F13" s="245" t="inlineStr">
        <is>
          <t>Decided</t>
        </is>
      </c>
    </row>
  </sheetData>
  <dataValidations count="1">
    <dataValidation sqref="F4:F13" showDropDown="0" showInputMessage="0" showErrorMessage="0" allowBlank="1" type="list">
      <formula1>"Open,Decided"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2026-09-30T20:02:12Z</dcterms:created>
  <dcterms:modified xsi:type="dcterms:W3CDTF">2026-09-30T20:02:12Z</dcterms:modified>
</cp:coreProperties>
</file>
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065bde64704b9e" /></Relationships>
</file>

<file path=xl/workbook.xml><?xml version="1.0" encoding="utf-8"?>
<x:workbook xmlns:x="http://schemas.openxmlformats.org/spreadsheetml/2006/main">
  <x:sheets>
    <x:sheet xmlns:r="http://schemas.openxmlformats.org/officeDocument/2006/relationships" name="Start Here" sheetId="1" r:id="R802089843e1a4cf0"/>
    <x:sheet xmlns:r="http://schemas.openxmlformats.org/officeDocument/2006/relationships" name="Do Now" sheetId="2" r:id="R95c9fd6d962549c8"/>
    <x:sheet xmlns:r="http://schemas.openxmlformats.org/officeDocument/2006/relationships" name="Plan from 1 Oct" sheetId="3" r:id="R9d893938fd9940e5"/>
    <x:sheet xmlns:r="http://schemas.openxmlformats.org/officeDocument/2006/relationships" name="Daily Guide" sheetId="4" r:id="R7a0a47f781714cab"/>
    <x:sheet xmlns:r="http://schemas.openxmlformats.org/officeDocument/2006/relationships" name="Calendar" sheetId="5" r:id="R1c558ae3064b46e2"/>
    <x:sheet xmlns:r="http://schemas.openxmlformats.org/officeDocument/2006/relationships" name="Glossary" sheetId="6" r:id="R145796579d674b70"/>
    <x:sheet xmlns:r="http://schemas.openxmlformats.org/officeDocument/2006/relationships" name="Roadmap Map" sheetId="7" r:id="R25621185b9744680"/>
    <x:sheet xmlns:r="http://schemas.openxmlformats.org/officeDocument/2006/relationships" name="Owner Overflow" sheetId="8" r:id="R3a7722752a474415"/>
    <x:sheet xmlns:r="http://schemas.openxmlformats.org/officeDocument/2006/relationships" name="Decisions" sheetId="9" r:id="R552644de0c3c437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d d mmm"/>
  </x:numFmts>
  <x:fonts count="13">
    <x:font>
      <x:sz val="11"/>
      <x:name val="Carlito"/>
    </x:font>
    <x:font>
      <x:b/>
      <x:sz val="16"/>
      <x:color rgb="FF17324D"/>
      <x:name val="Arial"/>
    </x:font>
    <x:font>
      <x:i/>
      <x:sz val="10"/>
      <x:color rgb="FF566573"/>
      <x:name val="Arial"/>
    </x:font>
    <x:font>
      <x:b/>
      <x:sz val="11"/>
      <x:color rgb="FFFFFFFF"/>
      <x:name val="Arial"/>
    </x:font>
    <x:font>
      <x:sz val="10"/>
      <x:color rgb="FF243442"/>
      <x:name val="Arial"/>
    </x:font>
    <x:font>
      <x:b/>
      <x:sz val="10"/>
      <x:color rgb="FF17324D"/>
      <x:name val="Arial"/>
    </x:font>
    <x:font>
      <x:b/>
      <x:sz val="11"/>
      <x:color rgb="FF17324D"/>
      <x:name val="Arial"/>
    </x:font>
    <x:font>
      <x:sz val="10"/>
      <x:color rgb="FF5A4625"/>
      <x:name val="Arial"/>
    </x:font>
    <x:font>
      <x:b/>
      <x:sz val="10"/>
      <x:color rgb="FFFFFFFF"/>
      <x:name val="Arial"/>
    </x:font>
    <x:font>
      <x:sz val="9"/>
      <x:color rgb="FF243442"/>
      <x:name val="Arial"/>
    </x:font>
    <x:font>
      <x:b/>
      <x:sz val="13"/>
    </x:font>
    <x:font>
      <x:b/>
      <x:color rgb="FFFFFFFF"/>
    </x:font>
    <x:font>
      <x:b/>
    </x:font>
  </x:fonts>
  <x:fills count="16">
    <x:fill>
      <x:patternFill patternType="none"/>
    </x:fill>
    <x:fill>
      <x:patternFill patternType="gray125"/>
    </x:fill>
    <x:fill>
      <x:patternFill patternType="solid">
        <x:fgColor rgb="FF17324D"/>
      </x:patternFill>
    </x:fill>
    <x:fill>
      <x:patternFill patternType="solid">
        <x:fgColor rgb="FFF7F9FA"/>
      </x:patternFill>
    </x:fill>
    <x:fill>
      <x:patternFill patternType="solid">
        <x:fgColor rgb="FFF3F6F8"/>
      </x:patternFill>
    </x:fill>
    <x:fill>
      <x:patternFill patternType="solid">
        <x:fgColor rgb="FFFFF7E6"/>
      </x:patternFill>
    </x:fill>
    <x:fill>
      <x:patternFill patternType="solid">
        <x:fgColor rgb="FFDCEAF7"/>
      </x:patternFill>
    </x:fill>
    <x:fill>
      <x:patternFill patternType="solid">
        <x:fgColor rgb="FFE9E1F5"/>
      </x:patternFill>
    </x:fill>
    <x:fill>
      <x:patternFill patternType="solid">
        <x:fgColor rgb="FFFCE8E6"/>
      </x:patternFill>
    </x:fill>
    <x:fill>
      <x:patternFill patternType="solid">
        <x:fgColor rgb="FFDFF1E8"/>
      </x:patternFill>
    </x:fill>
    <x:fill>
      <x:patternFill patternType="solid">
        <x:fgColor rgb="FFFDF1D5"/>
      </x:patternFill>
    </x:fill>
    <x:fill>
      <x:patternFill patternType="solid">
        <x:fgColor rgb="FFD4E8E6"/>
      </x:patternFill>
    </x:fill>
    <x:fill>
      <x:patternFill patternType="solid">
        <x:fgColor rgb="FFB9DED7"/>
      </x:patternFill>
    </x:fill>
    <x:fill>
      <x:patternFill patternType="solid">
        <x:fgColor rgb="FFFFFFFF"/>
      </x:patternFill>
    </x:fill>
    <x:fill>
      <x:patternFill patternType="solid">
        <x:fgColor rgb="FFF3EEF9"/>
      </x:patternFill>
    </x:fill>
    <x:fill>
      <x:patternFill patternType="solid">
        <x:fgColor rgb="FF1F4E5F"/>
      </x:patternFill>
    </x:fill>
  </x:fills>
  <x:borders count="29">
    <x:border/>
    <x:border>
      <x:left style="thin">
        <x:color rgb="FFC9D3DC"/>
      </x:left>
      <x:top style="thin">
        <x:color rgb="FFC9D3DC"/>
      </x:top>
    </x:border>
    <x:border>
      <x:top style="thin">
        <x:color rgb="FFC9D3DC"/>
      </x:top>
    </x:border>
    <x:border>
      <x:right style="thin">
        <x:color rgb="FFC9D3DC"/>
      </x:right>
      <x:top style="thin">
        <x:color rgb="FFC9D3DC"/>
      </x:top>
    </x:border>
    <x:border>
      <x:left style="thin">
        <x:color rgb="FFC9D3DC"/>
      </x:left>
    </x:border>
    <x:border>
      <x:right style="thin">
        <x:color rgb="FFC9D3DC"/>
      </x:right>
    </x:border>
    <x:border>
      <x:left style="thin">
        <x:color rgb="FFC9D3DC"/>
      </x:left>
      <x:bottom style="thin">
        <x:color rgb="FFC9D3DC"/>
      </x:bottom>
    </x:border>
    <x:border>
      <x:bottom style="thin">
        <x:color rgb="FFC9D3DC"/>
      </x:bottom>
    </x:border>
    <x:border>
      <x:right style="thin">
        <x:color rgb="FFC9D3DC"/>
      </x:right>
      <x:bottom style="thin">
        <x:color rgb="FFC9D3DC"/>
      </x:bottom>
    </x:border>
    <x:border>
      <x:left style="thin">
        <x:color rgb="FFE8C980"/>
      </x:left>
      <x:top style="thin">
        <x:color rgb="FFE8C980"/>
      </x:top>
    </x:border>
    <x:border>
      <x:top style="thin">
        <x:color rgb="FFE8C980"/>
      </x:top>
    </x:border>
    <x:border>
      <x:right style="thin">
        <x:color rgb="FFE8C980"/>
      </x:right>
      <x:top style="thin">
        <x:color rgb="FFE8C980"/>
      </x:top>
    </x:border>
    <x:border>
      <x:left style="thin">
        <x:color rgb="FFE8C980"/>
      </x:left>
    </x:border>
    <x:border>
      <x:right style="thin">
        <x:color rgb="FFE8C980"/>
      </x:right>
    </x:border>
    <x:border>
      <x:left style="thin">
        <x:color rgb="FFE8C980"/>
      </x:left>
      <x:bottom style="thin">
        <x:color rgb="FFE8C980"/>
      </x:bottom>
    </x:border>
    <x:border>
      <x:bottom style="thin">
        <x:color rgb="FFE8C980"/>
      </x:bottom>
    </x:border>
    <x:border>
      <x:right style="thin">
        <x:color rgb="FFE8C980"/>
      </x:right>
      <x:bottom style="thin">
        <x:color rgb="FFE8C980"/>
      </x:bottom>
    </x:border>
    <x:border>
      <x:bottom style="thin">
        <x:color rgb="FFDDE3E8"/>
      </x:bottom>
    </x:border>
    <x:border>
      <x:top style="thin">
        <x:color rgb="FFDDE3E8"/>
      </x:top>
      <x:bottom style="thin">
        <x:color rgb="FFDDE3E8"/>
      </x:bottom>
    </x:border>
    <x:border>
      <x:top style="thin">
        <x:color rgb="FFDDE3E8"/>
      </x:top>
      <x:bottom style="thin">
        <x:color rgb="FFAAB7C2"/>
      </x:bottom>
    </x:border>
    <x:border>
      <x:left style="thin">
        <x:color rgb="FFAAB7C2"/>
      </x:left>
      <x:top style="thin">
        <x:color rgb="FFAAB7C2"/>
      </x:top>
      <x:bottom style="thin">
        <x:color rgb="FFAAB7C2"/>
      </x:bottom>
    </x:border>
    <x:border>
      <x:top style="thin">
        <x:color rgb="FFAAB7C2"/>
      </x:top>
      <x:bottom style="thin">
        <x:color rgb="FFAAB7C2"/>
      </x:bottom>
    </x:border>
    <x:border>
      <x:right style="thin">
        <x:color rgb="FFAAB7C2"/>
      </x:right>
      <x:top style="thin">
        <x:color rgb="FFAAB7C2"/>
      </x:top>
      <x:bottom style="thin">
        <x:color rgb="FFAAB7C2"/>
      </x:bottom>
    </x:border>
    <x:border>
      <x:top style="thin">
        <x:color rgb="FFDDE3E8"/>
      </x:top>
    </x:border>
    <x:border>
      <x:left style="thin">
        <x:color rgb="FFC9D3DC"/>
      </x:left>
      <x:right style="thin">
        <x:color rgb="FFC9D3DC"/>
      </x:right>
      <x:top style="thin">
        <x:color rgb="FFC9D3DC"/>
      </x:top>
      <x:bottom style="thin">
        <x:color rgb="FFC9D3DC"/>
      </x:bottom>
    </x:border>
    <x:border>
      <x:left style="thin">
        <x:color rgb="FFE8C980"/>
      </x:left>
      <x:right style="thin">
        <x:color rgb="FFE8C980"/>
      </x:right>
      <x:top style="thin">
        <x:color rgb="FFE8C980"/>
      </x:top>
      <x:bottom style="thin">
        <x:color rgb="FFE8C980"/>
      </x:bottom>
    </x:border>
    <x:border>
      <x:left style="thin">
        <x:color rgb="FFAAB7C2"/>
      </x:left>
      <x:right style="thin">
        <x:color rgb="FFAAB7C2"/>
      </x:right>
      <x:top style="thin">
        <x:color rgb="FFAAB7C2"/>
      </x:top>
      <x:bottom style="thin">
        <x:color rgb="FFAAB7C2"/>
      </x:bottom>
    </x:border>
    <x:border>
      <x:top style="thin">
        <x:color rgb="FFAAB7C2"/>
      </x:top>
    </x:border>
    <x:border>
      <x:right style="thin">
        <x:color rgb="FFAAB7C2"/>
      </x:right>
      <x:top style="thin">
        <x:color rgb="FFAAB7C2"/>
      </x:top>
    </x:border>
  </x:borders>
  <x:cellStyleXfs count="1">
    <x:xf numFmtId="0" fontId="0" fillId="0" borderId="0"/>
  </x:cellStyleXfs>
  <x:cellXfs count="272">
    <x:xf numFmtId="0" fontId="0" fillId="0" borderId="0" xfId="0"/>
    <x:xf numFmtId="0" fontId="1" fillId="0" borderId="0" xfId="0"/>
    <x:xf numFmtId="0" fontId="2" fillId="0" borderId="0" xfId="0"/>
    <x:xf numFmtId="0" fontId="0" fillId="2" borderId="0" xfId="0"/>
    <x:xf numFmtId="0" fontId="3" fillId="2" borderId="0" xfId="0"/>
    <x:xf numFmtId="0" fontId="3" fillId="2" borderId="0" xfId="0" applyAlignment="1">
      <x:alignment vertical="center"/>
    </x:xf>
    <x:xf numFmtId="0" fontId="0" fillId="3" borderId="0" xfId="0"/>
    <x:xf numFmtId="0" fontId="4" fillId="3" borderId="0" xfId="0"/>
    <x:xf numFmtId="0" fontId="4" fillId="3" borderId="1" xfId="0"/>
    <x:xf numFmtId="0" fontId="4" fillId="3" borderId="2" xfId="0"/>
    <x:xf numFmtId="0" fontId="4" fillId="3" borderId="3" xfId="0"/>
    <x:xf numFmtId="0" fontId="4" fillId="3" borderId="4" xfId="0"/>
    <x:xf numFmtId="0" fontId="4" fillId="3" borderId="5" xfId="0"/>
    <x:xf numFmtId="0" fontId="4" fillId="3" borderId="6" xfId="0"/>
    <x:xf numFmtId="0" fontId="4" fillId="3" borderId="7" xfId="0"/>
    <x:xf numFmtId="0" fontId="4" fillId="3" borderId="8" xfId="0"/>
    <x:xf numFmtId="0" fontId="4" fillId="3" borderId="1" xfId="0" applyAlignment="1">
      <x:alignment wrapText="1"/>
    </x:xf>
    <x:xf numFmtId="0" fontId="4" fillId="3" borderId="2" xfId="0" applyAlignment="1">
      <x:alignment wrapText="1"/>
    </x:xf>
    <x:xf numFmtId="0" fontId="4" fillId="3" borderId="3" xfId="0" applyAlignment="1">
      <x:alignment wrapText="1"/>
    </x:xf>
    <x:xf numFmtId="0" fontId="4" fillId="3" borderId="4" xfId="0" applyAlignment="1">
      <x:alignment wrapText="1"/>
    </x:xf>
    <x:xf numFmtId="0" fontId="4" fillId="3" borderId="0" xfId="0" applyAlignment="1">
      <x:alignment wrapText="1"/>
    </x:xf>
    <x:xf numFmtId="0" fontId="4" fillId="3" borderId="5" xfId="0" applyAlignment="1">
      <x:alignment wrapText="1"/>
    </x:xf>
    <x:xf numFmtId="0" fontId="4" fillId="3" borderId="6" xfId="0" applyAlignment="1">
      <x:alignment wrapText="1"/>
    </x:xf>
    <x:xf numFmtId="0" fontId="4" fillId="3" borderId="7" xfId="0" applyAlignment="1">
      <x:alignment wrapText="1"/>
    </x:xf>
    <x:xf numFmtId="0" fontId="4" fillId="3" borderId="8" xfId="0" applyAlignment="1">
      <x:alignment wrapText="1"/>
    </x:xf>
    <x:xf numFmtId="0" fontId="4" fillId="3" borderId="1" xfId="0" applyAlignment="1">
      <x:alignment vertical="top" wrapText="1"/>
    </x:xf>
    <x:xf numFmtId="0" fontId="4" fillId="3" borderId="2" xfId="0" applyAlignment="1">
      <x:alignment vertical="top" wrapText="1"/>
    </x:xf>
    <x:xf numFmtId="0" fontId="4" fillId="3" borderId="3" xfId="0" applyAlignment="1">
      <x:alignment vertical="top" wrapText="1"/>
    </x:xf>
    <x:xf numFmtId="0" fontId="4" fillId="3" borderId="4" xfId="0" applyAlignment="1">
      <x:alignment vertical="top" wrapText="1"/>
    </x:xf>
    <x:xf numFmtId="0" fontId="4" fillId="3" borderId="0" xfId="0" applyAlignment="1">
      <x:alignment vertical="top" wrapText="1"/>
    </x:xf>
    <x:xf numFmtId="0" fontId="4" fillId="3" borderId="5" xfId="0" applyAlignment="1">
      <x:alignment vertical="top" wrapText="1"/>
    </x:xf>
    <x:xf numFmtId="0" fontId="4" fillId="3" borderId="6" xfId="0" applyAlignment="1">
      <x:alignment vertical="top" wrapText="1"/>
    </x:xf>
    <x:xf numFmtId="0" fontId="4" fillId="3" borderId="7" xfId="0" applyAlignment="1">
      <x:alignment vertical="top" wrapText="1"/>
    </x:xf>
    <x:xf numFmtId="0" fontId="4" fillId="3" borderId="8" xfId="0" applyAlignment="1">
      <x:alignment vertical="top" wrapText="1"/>
    </x:xf>
    <x:xf numFmtId="9" fontId="0" fillId="0" borderId="0" xfId="0"/>
    <x:xf numFmtId="0" fontId="5" fillId="0" borderId="0" xfId="0"/>
    <x:xf numFmtId="0" fontId="6" fillId="0" borderId="0" xfId="0"/>
    <x:xf numFmtId="9" fontId="6" fillId="0" borderId="0" xfId="0"/>
    <x:xf numFmtId="0" fontId="5" fillId="4" borderId="0" xfId="0"/>
    <x:xf numFmtId="0" fontId="6" fillId="4" borderId="0" xfId="0"/>
    <x:xf numFmtId="9" fontId="6" fillId="4" borderId="0" xfId="0"/>
    <x:xf numFmtId="0" fontId="5" fillId="4" borderId="1" xfId="0"/>
    <x:xf numFmtId="0" fontId="6" fillId="4" borderId="3" xfId="0"/>
    <x:xf numFmtId="0" fontId="5" fillId="4" borderId="4" xfId="0"/>
    <x:xf numFmtId="0" fontId="6" fillId="4" borderId="5" xfId="0"/>
    <x:xf numFmtId="0" fontId="5" fillId="4" borderId="6" xfId="0"/>
    <x:xf numFmtId="9" fontId="6" fillId="4" borderId="8" xfId="0"/>
    <x:xf numFmtId="0" fontId="0" fillId="5" borderId="0" xfId="0"/>
    <x:xf numFmtId="0" fontId="7" fillId="5" borderId="0" xfId="0"/>
    <x:xf numFmtId="0" fontId="7" fillId="5" borderId="9" xfId="0"/>
    <x:xf numFmtId="0" fontId="7" fillId="5" borderId="10" xfId="0"/>
    <x:xf numFmtId="0" fontId="7" fillId="5" borderId="11" xfId="0"/>
    <x:xf numFmtId="0" fontId="7" fillId="5" borderId="12" xfId="0"/>
    <x:xf numFmtId="0" fontId="7" fillId="5" borderId="13" xfId="0"/>
    <x:xf numFmtId="0" fontId="7" fillId="5" borderId="14" xfId="0"/>
    <x:xf numFmtId="0" fontId="7" fillId="5" borderId="15" xfId="0"/>
    <x:xf numFmtId="0" fontId="7" fillId="5" borderId="16" xfId="0"/>
    <x:xf numFmtId="0" fontId="7" fillId="5" borderId="9" xfId="0" applyAlignment="1">
      <x:alignment wrapText="1"/>
    </x:xf>
    <x:xf numFmtId="0" fontId="7" fillId="5" borderId="10" xfId="0" applyAlignment="1">
      <x:alignment wrapText="1"/>
    </x:xf>
    <x:xf numFmtId="0" fontId="7" fillId="5" borderId="11" xfId="0" applyAlignment="1">
      <x:alignment wrapText="1"/>
    </x:xf>
    <x:xf numFmtId="0" fontId="7" fillId="5" borderId="12" xfId="0" applyAlignment="1">
      <x:alignment wrapText="1"/>
    </x:xf>
    <x:xf numFmtId="0" fontId="7" fillId="5" borderId="0" xfId="0" applyAlignment="1">
      <x:alignment wrapText="1"/>
    </x:xf>
    <x:xf numFmtId="0" fontId="7" fillId="5" borderId="13" xfId="0" applyAlignment="1">
      <x:alignment wrapText="1"/>
    </x:xf>
    <x:xf numFmtId="0" fontId="7" fillId="5" borderId="14" xfId="0" applyAlignment="1">
      <x:alignment wrapText="1"/>
    </x:xf>
    <x:xf numFmtId="0" fontId="7" fillId="5" borderId="15" xfId="0" applyAlignment="1">
      <x:alignment wrapText="1"/>
    </x:xf>
    <x:xf numFmtId="0" fontId="7" fillId="5" borderId="16" xfId="0" applyAlignment="1">
      <x:alignment wrapText="1"/>
    </x:xf>
    <x:xf numFmtId="0" fontId="7" fillId="5" borderId="9" xfId="0" applyAlignment="1">
      <x:alignment vertical="center" wrapText="1"/>
    </x:xf>
    <x:xf numFmtId="0" fontId="7" fillId="5" borderId="10" xfId="0" applyAlignment="1">
      <x:alignment vertical="center" wrapText="1"/>
    </x:xf>
    <x:xf numFmtId="0" fontId="7" fillId="5" borderId="11" xfId="0" applyAlignment="1">
      <x:alignment vertical="center" wrapText="1"/>
    </x:xf>
    <x:xf numFmtId="0" fontId="7" fillId="5" borderId="12" xfId="0" applyAlignment="1">
      <x:alignment vertical="center" wrapText="1"/>
    </x:xf>
    <x:xf numFmtId="0" fontId="7" fillId="5" borderId="0" xfId="0" applyAlignment="1">
      <x:alignment vertical="center" wrapText="1"/>
    </x:xf>
    <x:xf numFmtId="0" fontId="7" fillId="5" borderId="13" xfId="0" applyAlignment="1">
      <x:alignment vertical="center" wrapText="1"/>
    </x:xf>
    <x:xf numFmtId="0" fontId="7" fillId="5" borderId="14" xfId="0" applyAlignment="1">
      <x:alignment vertical="center" wrapText="1"/>
    </x:xf>
    <x:xf numFmtId="0" fontId="7" fillId="5" borderId="15" xfId="0" applyAlignment="1">
      <x:alignment vertical="center" wrapText="1"/>
    </x:xf>
    <x:xf numFmtId="0" fontId="7" fillId="5" borderId="16" xfId="0" applyAlignment="1">
      <x:alignment vertical="center" wrapText="1"/>
    </x:xf>
    <x:xf numFmtId="164" fontId="0" fillId="0" borderId="0" xfId="0"/>
    <x:xf numFmtId="0" fontId="4" fillId="0" borderId="0" xfId="0"/>
    <x:xf numFmtId="164" fontId="4" fillId="0" borderId="0" xfId="0"/>
    <x:xf numFmtId="0" fontId="4" fillId="2" borderId="0" xfId="0"/>
    <x:xf numFmtId="0" fontId="8" fillId="2" borderId="0" xfId="0"/>
    <x:xf numFmtId="0" fontId="8" fillId="2" borderId="0" xfId="0" applyAlignment="1">
      <x:alignment wrapText="1"/>
    </x:xf>
    <x:xf numFmtId="0" fontId="8" fillId="2" borderId="0" xfId="0" applyAlignment="1">
      <x:alignment horizontal="center" wrapText="1"/>
    </x:xf>
    <x:xf numFmtId="0" fontId="8" fillId="2" borderId="0" xfId="0" applyAlignment="1">
      <x:alignment horizontal="center" vertical="center" wrapText="1"/>
    </x:xf>
    <x:xf numFmtId="164" fontId="4" fillId="0" borderId="0" xfId="0" applyAlignment="1">
      <x:alignment vertical="top"/>
    </x:xf>
    <x:xf numFmtId="0" fontId="4" fillId="0" borderId="0" xfId="0" applyAlignment="1">
      <x:alignment vertical="top"/>
    </x:xf>
    <x:xf numFmtId="0" fontId="4" fillId="0" borderId="0" xfId="0" applyAlignment="1">
      <x:alignment vertical="top" wrapText="1"/>
    </x:xf>
    <x:xf numFmtId="0" fontId="4" fillId="0" borderId="0" xfId="0" applyAlignment="1">
      <x:alignment horizontal="center" vertical="top"/>
    </x:xf>
    <x:xf numFmtId="0" fontId="4" fillId="6" borderId="0" xfId="0" applyAlignment="1">
      <x:alignment vertical="top"/>
    </x:xf>
    <x:xf numFmtId="0" fontId="4" fillId="7" borderId="0" xfId="0" applyAlignment="1">
      <x:alignment vertical="top"/>
    </x:xf>
    <x:xf numFmtId="0" fontId="4" fillId="8" borderId="0" xfId="0" applyAlignment="1">
      <x:alignment vertical="top"/>
    </x:xf>
    <x:xf numFmtId="0" fontId="4" fillId="9" borderId="0" xfId="0" applyAlignment="1">
      <x:alignment vertical="top"/>
    </x:xf>
    <x:xf numFmtId="0" fontId="4" fillId="10" borderId="0" xfId="0" applyAlignment="1">
      <x:alignment vertical="top"/>
    </x:xf>
    <x:xf numFmtId="0" fontId="4" fillId="11" borderId="0" xfId="0" applyAlignment="1">
      <x:alignment vertical="top"/>
    </x:xf>
    <x:xf numFmtId="0" fontId="4" fillId="12" borderId="0" xfId="0" applyAlignment="1">
      <x:alignment vertical="top"/>
    </x:xf>
    <x:xf numFmtId="0" fontId="8" fillId="2" borderId="17" xfId="0" applyAlignment="1">
      <x:alignment horizontal="center" vertical="center" wrapText="1"/>
    </x:xf>
    <x:xf numFmtId="164" fontId="4" fillId="0" borderId="18" xfId="0" applyAlignment="1">
      <x:alignment vertical="top"/>
    </x:xf>
    <x:xf numFmtId="0" fontId="4" fillId="0" borderId="18" xfId="0" applyAlignment="1">
      <x:alignment vertical="top"/>
    </x:xf>
    <x:xf numFmtId="0" fontId="4" fillId="6" borderId="18" xfId="0" applyAlignment="1">
      <x:alignment vertical="top"/>
    </x:xf>
    <x:xf numFmtId="0" fontId="4" fillId="0" borderId="18" xfId="0" applyAlignment="1">
      <x:alignment vertical="top" wrapText="1"/>
    </x:xf>
    <x:xf numFmtId="0" fontId="4" fillId="0" borderId="18" xfId="0" applyAlignment="1">
      <x:alignment horizontal="center" vertical="top"/>
    </x:xf>
    <x:xf numFmtId="0" fontId="4" fillId="7" borderId="18" xfId="0" applyAlignment="1">
      <x:alignment vertical="top"/>
    </x:xf>
    <x:xf numFmtId="0" fontId="4" fillId="8" borderId="18" xfId="0" applyAlignment="1">
      <x:alignment vertical="top"/>
    </x:xf>
    <x:xf numFmtId="0" fontId="4" fillId="9" borderId="18" xfId="0" applyAlignment="1">
      <x:alignment vertical="top"/>
    </x:xf>
    <x:xf numFmtId="0" fontId="4" fillId="10" borderId="18" xfId="0" applyAlignment="1">
      <x:alignment vertical="top"/>
    </x:xf>
    <x:xf numFmtId="0" fontId="4" fillId="11" borderId="18" xfId="0" applyAlignment="1">
      <x:alignment vertical="top"/>
    </x:xf>
    <x:xf numFmtId="164" fontId="4" fillId="0" borderId="19" xfId="0" applyAlignment="1">
      <x:alignment vertical="top"/>
    </x:xf>
    <x:xf numFmtId="0" fontId="4" fillId="0" borderId="19" xfId="0" applyAlignment="1">
      <x:alignment vertical="top"/>
    </x:xf>
    <x:xf numFmtId="0" fontId="4" fillId="12" borderId="19" xfId="0" applyAlignment="1">
      <x:alignment vertical="top"/>
    </x:xf>
    <x:xf numFmtId="0" fontId="4" fillId="0" borderId="19" xfId="0" applyAlignment="1">
      <x:alignment vertical="top" wrapText="1"/>
    </x:xf>
    <x:xf numFmtId="0" fontId="4" fillId="0" borderId="19" xfId="0" applyAlignment="1">
      <x:alignment horizontal="center" vertical="top"/>
    </x:xf>
    <x:xf numFmtId="0" fontId="0" fillId="6" borderId="0" xfId="0"/>
    <x:xf numFmtId="0" fontId="6" fillId="6" borderId="0" xfId="0"/>
    <x:xf numFmtId="0" fontId="6" fillId="6" borderId="20" xfId="0"/>
    <x:xf numFmtId="0" fontId="6" fillId="6" borderId="21" xfId="0"/>
    <x:xf numFmtId="0" fontId="6" fillId="6" borderId="22" xfId="0"/>
    <x:xf numFmtId="0" fontId="6" fillId="6" borderId="20" xfId="0" applyAlignment="1">
      <x:alignment vertical="center"/>
    </x:xf>
    <x:xf numFmtId="0" fontId="6" fillId="6" borderId="21" xfId="0" applyAlignment="1">
      <x:alignment vertical="center"/>
    </x:xf>
    <x:xf numFmtId="0" fontId="6" fillId="6" borderId="22" xfId="0" applyAlignment="1">
      <x:alignment vertical="center"/>
    </x:xf>
    <x:xf numFmtId="0" fontId="8" fillId="2" borderId="20" xfId="0"/>
    <x:xf numFmtId="0" fontId="8" fillId="2" borderId="22" xfId="0"/>
    <x:xf numFmtId="0" fontId="8" fillId="2" borderId="20" xfId="0" applyAlignment="1">
      <x:alignment horizontal="center"/>
    </x:xf>
    <x:xf numFmtId="0" fontId="8" fillId="2" borderId="22" xfId="0" applyAlignment="1">
      <x:alignment horizontal="center"/>
    </x:xf>
    <x:xf numFmtId="0" fontId="8" fillId="2" borderId="20" xfId="0" applyAlignment="1">
      <x:alignment horizontal="center" vertical="center"/>
    </x:xf>
    <x:xf numFmtId="0" fontId="8" fillId="2" borderId="22" xfId="0" applyAlignment="1">
      <x:alignment horizontal="center" vertical="center"/>
    </x:xf>
    <x:xf numFmtId="0" fontId="0" fillId="13" borderId="0" xfId="0"/>
    <x:xf numFmtId="0" fontId="9" fillId="13" borderId="0" xfId="0"/>
    <x:xf numFmtId="0" fontId="9" fillId="13" borderId="1" xfId="0"/>
    <x:xf numFmtId="0" fontId="9" fillId="13" borderId="3" xfId="0"/>
    <x:xf numFmtId="0" fontId="9" fillId="13" borderId="4" xfId="0"/>
    <x:xf numFmtId="0" fontId="9" fillId="13" borderId="5" xfId="0"/>
    <x:xf numFmtId="0" fontId="9" fillId="13" borderId="6" xfId="0"/>
    <x:xf numFmtId="0" fontId="9" fillId="13" borderId="8" xfId="0"/>
    <x:xf numFmtId="0" fontId="9" fillId="13" borderId="1" xfId="0" applyAlignment="1">
      <x:alignment wrapText="1"/>
    </x:xf>
    <x:xf numFmtId="0" fontId="9" fillId="13" borderId="3" xfId="0" applyAlignment="1">
      <x:alignment wrapText="1"/>
    </x:xf>
    <x:xf numFmtId="0" fontId="9" fillId="13" borderId="4" xfId="0" applyAlignment="1">
      <x:alignment wrapText="1"/>
    </x:xf>
    <x:xf numFmtId="0" fontId="9" fillId="13" borderId="5" xfId="0" applyAlignment="1">
      <x:alignment wrapText="1"/>
    </x:xf>
    <x:xf numFmtId="0" fontId="9" fillId="13" borderId="6" xfId="0" applyAlignment="1">
      <x:alignment wrapText="1"/>
    </x:xf>
    <x:xf numFmtId="0" fontId="9" fillId="13" borderId="8" xfId="0" applyAlignment="1">
      <x:alignment wrapText="1"/>
    </x:xf>
    <x:xf numFmtId="0" fontId="9" fillId="13" borderId="1" xfId="0" applyAlignment="1">
      <x:alignment vertical="top" wrapText="1"/>
    </x:xf>
    <x:xf numFmtId="0" fontId="9" fillId="13" borderId="3" xfId="0" applyAlignment="1">
      <x:alignment vertical="top" wrapText="1"/>
    </x:xf>
    <x:xf numFmtId="0" fontId="9" fillId="13" borderId="4" xfId="0" applyAlignment="1">
      <x:alignment vertical="top" wrapText="1"/>
    </x:xf>
    <x:xf numFmtId="0" fontId="9" fillId="13" borderId="5" xfId="0" applyAlignment="1">
      <x:alignment vertical="top" wrapText="1"/>
    </x:xf>
    <x:xf numFmtId="0" fontId="9" fillId="13" borderId="6" xfId="0" applyAlignment="1">
      <x:alignment vertical="top" wrapText="1"/>
    </x:xf>
    <x:xf numFmtId="0" fontId="9" fillId="13" borderId="8" xfId="0" applyAlignment="1">
      <x:alignment vertical="top" wrapText="1"/>
    </x:xf>
    <x:xf numFmtId="0" fontId="0" fillId="14" borderId="0" xfId="0"/>
    <x:xf numFmtId="0" fontId="9" fillId="14" borderId="0" xfId="0"/>
    <x:xf numFmtId="0" fontId="9" fillId="14" borderId="1" xfId="0"/>
    <x:xf numFmtId="0" fontId="9" fillId="14" borderId="3" xfId="0"/>
    <x:xf numFmtId="0" fontId="9" fillId="14" borderId="4" xfId="0"/>
    <x:xf numFmtId="0" fontId="9" fillId="14" borderId="5" xfId="0"/>
    <x:xf numFmtId="0" fontId="9" fillId="14" borderId="6" xfId="0"/>
    <x:xf numFmtId="0" fontId="9" fillId="14" borderId="8" xfId="0"/>
    <x:xf numFmtId="0" fontId="9" fillId="14" borderId="1" xfId="0" applyAlignment="1">
      <x:alignment wrapText="1"/>
    </x:xf>
    <x:xf numFmtId="0" fontId="9" fillId="14" borderId="3" xfId="0" applyAlignment="1">
      <x:alignment wrapText="1"/>
    </x:xf>
    <x:xf numFmtId="0" fontId="9" fillId="14" borderId="4" xfId="0" applyAlignment="1">
      <x:alignment wrapText="1"/>
    </x:xf>
    <x:xf numFmtId="0" fontId="9" fillId="14" borderId="5" xfId="0" applyAlignment="1">
      <x:alignment wrapText="1"/>
    </x:xf>
    <x:xf numFmtId="0" fontId="9" fillId="14" borderId="6" xfId="0" applyAlignment="1">
      <x:alignment wrapText="1"/>
    </x:xf>
    <x:xf numFmtId="0" fontId="9" fillId="14" borderId="8" xfId="0" applyAlignment="1">
      <x:alignment wrapText="1"/>
    </x:xf>
    <x:xf numFmtId="0" fontId="9" fillId="14" borderId="1" xfId="0" applyAlignment="1">
      <x:alignment vertical="top" wrapText="1"/>
    </x:xf>
    <x:xf numFmtId="0" fontId="9" fillId="14" borderId="3" xfId="0" applyAlignment="1">
      <x:alignment vertical="top" wrapText="1"/>
    </x:xf>
    <x:xf numFmtId="0" fontId="9" fillId="14" borderId="4" xfId="0" applyAlignment="1">
      <x:alignment vertical="top" wrapText="1"/>
    </x:xf>
    <x:xf numFmtId="0" fontId="9" fillId="14" borderId="5" xfId="0" applyAlignment="1">
      <x:alignment vertical="top" wrapText="1"/>
    </x:xf>
    <x:xf numFmtId="0" fontId="9" fillId="14" borderId="6" xfId="0" applyAlignment="1">
      <x:alignment vertical="top" wrapText="1"/>
    </x:xf>
    <x:xf numFmtId="0" fontId="9" fillId="14" borderId="8" xfId="0" applyAlignment="1">
      <x:alignment vertical="top" wrapText="1"/>
    </x:xf>
    <x:xf numFmtId="0" fontId="0" fillId="8" borderId="0" xfId="0"/>
    <x:xf numFmtId="0" fontId="6" fillId="8" borderId="0" xfId="0"/>
    <x:xf numFmtId="0" fontId="6" fillId="8" borderId="20" xfId="0"/>
    <x:xf numFmtId="0" fontId="6" fillId="8" borderId="21" xfId="0"/>
    <x:xf numFmtId="0" fontId="6" fillId="8" borderId="22" xfId="0"/>
    <x:xf numFmtId="0" fontId="6" fillId="8" borderId="20" xfId="0" applyAlignment="1">
      <x:alignment vertical="center"/>
    </x:xf>
    <x:xf numFmtId="0" fontId="6" fillId="8" borderId="21" xfId="0" applyAlignment="1">
      <x:alignment vertical="center"/>
    </x:xf>
    <x:xf numFmtId="0" fontId="6" fillId="8" borderId="22" xfId="0" applyAlignment="1">
      <x:alignment vertical="center"/>
    </x:xf>
    <x:xf numFmtId="0" fontId="0" fillId="7" borderId="0" xfId="0"/>
    <x:xf numFmtId="0" fontId="6" fillId="7" borderId="0" xfId="0"/>
    <x:xf numFmtId="0" fontId="6" fillId="7" borderId="20" xfId="0"/>
    <x:xf numFmtId="0" fontId="6" fillId="7" borderId="21" xfId="0"/>
    <x:xf numFmtId="0" fontId="6" fillId="7" borderId="22" xfId="0"/>
    <x:xf numFmtId="0" fontId="6" fillId="7" borderId="20" xfId="0" applyAlignment="1">
      <x:alignment vertical="center"/>
    </x:xf>
    <x:xf numFmtId="0" fontId="6" fillId="7" borderId="21" xfId="0" applyAlignment="1">
      <x:alignment vertical="center"/>
    </x:xf>
    <x:xf numFmtId="0" fontId="6" fillId="7" borderId="22" xfId="0" applyAlignment="1">
      <x:alignment vertical="center"/>
    </x:xf>
    <x:xf numFmtId="0" fontId="0" fillId="9" borderId="0" xfId="0"/>
    <x:xf numFmtId="0" fontId="6" fillId="9" borderId="0" xfId="0"/>
    <x:xf numFmtId="0" fontId="6" fillId="9" borderId="20" xfId="0"/>
    <x:xf numFmtId="0" fontId="6" fillId="9" borderId="21" xfId="0"/>
    <x:xf numFmtId="0" fontId="6" fillId="9" borderId="22" xfId="0"/>
    <x:xf numFmtId="0" fontId="6" fillId="9" borderId="20" xfId="0" applyAlignment="1">
      <x:alignment vertical="center"/>
    </x:xf>
    <x:xf numFmtId="0" fontId="6" fillId="9" borderId="21" xfId="0" applyAlignment="1">
      <x:alignment vertical="center"/>
    </x:xf>
    <x:xf numFmtId="0" fontId="6" fillId="9" borderId="22" xfId="0" applyAlignment="1">
      <x:alignment vertical="center"/>
    </x:xf>
    <x:xf numFmtId="0" fontId="0" fillId="10" borderId="0" xfId="0"/>
    <x:xf numFmtId="0" fontId="6" fillId="10" borderId="0" xfId="0"/>
    <x:xf numFmtId="0" fontId="6" fillId="10" borderId="20" xfId="0"/>
    <x:xf numFmtId="0" fontId="6" fillId="10" borderId="21" xfId="0"/>
    <x:xf numFmtId="0" fontId="6" fillId="10" borderId="22" xfId="0"/>
    <x:xf numFmtId="0" fontId="6" fillId="10" borderId="20" xfId="0" applyAlignment="1">
      <x:alignment vertical="center"/>
    </x:xf>
    <x:xf numFmtId="0" fontId="6" fillId="10" borderId="21" xfId="0" applyAlignment="1">
      <x:alignment vertical="center"/>
    </x:xf>
    <x:xf numFmtId="0" fontId="6" fillId="10" borderId="22" xfId="0" applyAlignment="1">
      <x:alignment vertical="center"/>
    </x:xf>
    <x:xf numFmtId="0" fontId="0" fillId="12" borderId="0" xfId="0"/>
    <x:xf numFmtId="0" fontId="6" fillId="12" borderId="0" xfId="0"/>
    <x:xf numFmtId="0" fontId="6" fillId="12" borderId="20" xfId="0"/>
    <x:xf numFmtId="0" fontId="6" fillId="12" borderId="21" xfId="0"/>
    <x:xf numFmtId="0" fontId="6" fillId="12" borderId="22" xfId="0"/>
    <x:xf numFmtId="0" fontId="6" fillId="12" borderId="20" xfId="0" applyAlignment="1">
      <x:alignment vertical="center"/>
    </x:xf>
    <x:xf numFmtId="0" fontId="6" fillId="12" borderId="21" xfId="0" applyAlignment="1">
      <x:alignment vertical="center"/>
    </x:xf>
    <x:xf numFmtId="0" fontId="6" fillId="12" borderId="22" xfId="0" applyAlignment="1">
      <x:alignment vertical="center"/>
    </x:xf>
    <x:xf numFmtId="0" fontId="0" fillId="4" borderId="0" xfId="0"/>
    <x:xf numFmtId="0" fontId="9" fillId="4" borderId="0" xfId="0"/>
    <x:xf numFmtId="0" fontId="9" fillId="4" borderId="1" xfId="0"/>
    <x:xf numFmtId="0" fontId="9" fillId="4" borderId="3" xfId="0"/>
    <x:xf numFmtId="0" fontId="9" fillId="4" borderId="4" xfId="0"/>
    <x:xf numFmtId="0" fontId="9" fillId="4" borderId="5" xfId="0"/>
    <x:xf numFmtId="0" fontId="9" fillId="4" borderId="6" xfId="0"/>
    <x:xf numFmtId="0" fontId="9" fillId="4" borderId="8" xfId="0"/>
    <x:xf numFmtId="0" fontId="9" fillId="4" borderId="1" xfId="0" applyAlignment="1">
      <x:alignment wrapText="1"/>
    </x:xf>
    <x:xf numFmtId="0" fontId="9" fillId="4" borderId="3" xfId="0" applyAlignment="1">
      <x:alignment wrapText="1"/>
    </x:xf>
    <x:xf numFmtId="0" fontId="9" fillId="4" borderId="4" xfId="0" applyAlignment="1">
      <x:alignment wrapText="1"/>
    </x:xf>
    <x:xf numFmtId="0" fontId="9" fillId="4" borderId="5" xfId="0" applyAlignment="1">
      <x:alignment wrapText="1"/>
    </x:xf>
    <x:xf numFmtId="0" fontId="9" fillId="4" borderId="6" xfId="0" applyAlignment="1">
      <x:alignment wrapText="1"/>
    </x:xf>
    <x:xf numFmtId="0" fontId="9" fillId="4" borderId="8" xfId="0" applyAlignment="1">
      <x:alignment wrapText="1"/>
    </x:xf>
    <x:xf numFmtId="0" fontId="9" fillId="4" borderId="1" xfId="0" applyAlignment="1">
      <x:alignment vertical="top" wrapText="1"/>
    </x:xf>
    <x:xf numFmtId="0" fontId="9" fillId="4" borderId="3" xfId="0" applyAlignment="1">
      <x:alignment vertical="top" wrapText="1"/>
    </x:xf>
    <x:xf numFmtId="0" fontId="9" fillId="4" borderId="4" xfId="0" applyAlignment="1">
      <x:alignment vertical="top" wrapText="1"/>
    </x:xf>
    <x:xf numFmtId="0" fontId="9" fillId="4" borderId="5" xfId="0" applyAlignment="1">
      <x:alignment vertical="top" wrapText="1"/>
    </x:xf>
    <x:xf numFmtId="0" fontId="9" fillId="4" borderId="6" xfId="0" applyAlignment="1">
      <x:alignment vertical="top" wrapText="1"/>
    </x:xf>
    <x:xf numFmtId="0" fontId="9" fillId="4" borderId="8" xfId="0" applyAlignment="1">
      <x:alignment vertical="top" wrapText="1"/>
    </x:xf>
    <x:xf numFmtId="0" fontId="8" fillId="2" borderId="0" xfId="0" applyAlignment="1">
      <x:alignment horizontal="center"/>
    </x:xf>
    <x:xf numFmtId="0" fontId="8" fillId="2" borderId="0" xfId="0" applyAlignment="1">
      <x:alignment horizontal="center" vertical="center"/>
    </x:xf>
    <x:xf numFmtId="0" fontId="4" fillId="0" borderId="17" xfId="0"/>
    <x:xf numFmtId="0" fontId="4" fillId="0" borderId="18" xfId="0"/>
    <x:xf numFmtId="0" fontId="4" fillId="0" borderId="23" xfId="0"/>
    <x:xf numFmtId="0" fontId="4" fillId="0" borderId="17" xfId="0" applyAlignment="1">
      <x:alignment wrapText="1"/>
    </x:xf>
    <x:xf numFmtId="0" fontId="4" fillId="0" borderId="18" xfId="0" applyAlignment="1">
      <x:alignment wrapText="1"/>
    </x:xf>
    <x:xf numFmtId="0" fontId="4" fillId="0" borderId="23" xfId="0" applyAlignment="1">
      <x:alignment wrapText="1"/>
    </x:xf>
    <x:xf numFmtId="0" fontId="4" fillId="0" borderId="17" xfId="0" applyAlignment="1">
      <x:alignment vertical="top" wrapText="1"/>
    </x:xf>
    <x:xf numFmtId="0" fontId="4" fillId="0" borderId="23" xfId="0" applyAlignment="1">
      <x:alignment vertical="top" wrapText="1"/>
    </x:xf>
    <x:xf numFmtId="0" fontId="4" fillId="3" borderId="24" xfId="0" applyAlignment="1">
      <x:alignment vertical="top" wrapText="1"/>
    </x:xf>
    <x:xf numFmtId="0" fontId="0" fillId="0" borderId="2" xfId="0"/>
    <x:xf numFmtId="0" fontId="0" fillId="0" borderId="3" xfId="0"/>
    <x:xf numFmtId="0" fontId="0" fillId="0" borderId="4" xfId="0"/>
    <x:xf numFmtId="0" fontId="0" fillId="0" borderId="5" xfId="0"/>
    <x:xf numFmtId="0" fontId="0" fillId="0" borderId="6" xfId="0"/>
    <x:xf numFmtId="0" fontId="0" fillId="0" borderId="7" xfId="0"/>
    <x:xf numFmtId="0" fontId="0" fillId="0" borderId="8" xfId="0"/>
    <x:xf numFmtId="0" fontId="12" fillId="0" borderId="0" xfId="0" applyAlignment="1">
      <x:alignment vertical="top" wrapText="1"/>
    </x:xf>
    <x:xf numFmtId="0" fontId="10" fillId="0" borderId="0" xfId="0"/>
    <x:xf numFmtId="0" fontId="11" fillId="15" borderId="0" xfId="0" applyAlignment="1">
      <x:alignment vertical="center" wrapText="1"/>
    </x:xf>
    <x:xf numFmtId="0" fontId="0" fillId="0" borderId="0" xfId="0" applyAlignment="1">
      <x:alignment vertical="top" wrapText="1"/>
    </x:xf>
    <x:xf numFmtId="164" fontId="0" fillId="0" borderId="0" xfId="0" applyAlignment="1">
      <x:alignment vertical="top" wrapText="1"/>
    </x:xf>
    <x:xf numFmtId="9" fontId="0" fillId="0" borderId="0" xfId="0"/>
    <x:xf numFmtId="0" fontId="7" fillId="5" borderId="25" xfId="0" applyAlignment="1">
      <x:alignment vertical="center" wrapText="1"/>
    </x:xf>
    <x:xf numFmtId="0" fontId="0" fillId="0" borderId="10" xfId="0"/>
    <x:xf numFmtId="0" fontId="0" fillId="0" borderId="11" xfId="0"/>
    <x:xf numFmtId="0" fontId="0" fillId="0" borderId="12" xfId="0"/>
    <x:xf numFmtId="0" fontId="0" fillId="0" borderId="13" xfId="0"/>
    <x:xf numFmtId="9" fontId="6" fillId="4" borderId="8" xfId="0"/>
    <x:xf numFmtId="0" fontId="0" fillId="0" borderId="14" xfId="0"/>
    <x:xf numFmtId="0" fontId="0" fillId="0" borderId="15" xfId="0"/>
    <x:xf numFmtId="0" fontId="0" fillId="0" borderId="16" xfId="0"/>
    <x:xf numFmtId="164" fontId="4" fillId="0" borderId="18" xfId="0" applyAlignment="1">
      <x:alignment vertical="top"/>
    </x:xf>
    <x:xf numFmtId="164" fontId="4" fillId="0" borderId="19" xfId="0" applyAlignment="1">
      <x:alignment vertical="top"/>
    </x:xf>
    <x:xf numFmtId="0" fontId="6" fillId="6" borderId="26" xfId="0" applyAlignment="1">
      <x:alignment vertical="center"/>
    </x:xf>
    <x:xf numFmtId="0" fontId="0" fillId="0" borderId="21" xfId="0"/>
    <x:xf numFmtId="0" fontId="0" fillId="0" borderId="22" xfId="0"/>
    <x:xf numFmtId="0" fontId="8" fillId="2" borderId="26" xfId="0" applyAlignment="1">
      <x:alignment horizontal="center" vertical="center"/>
    </x:xf>
    <x:xf numFmtId="0" fontId="9" fillId="13" borderId="24" xfId="0" applyAlignment="1">
      <x:alignment vertical="top" wrapText="1"/>
    </x:xf>
    <x:xf numFmtId="0" fontId="9" fillId="14" borderId="24" xfId="0" applyAlignment="1">
      <x:alignment vertical="top" wrapText="1"/>
    </x:xf>
    <x:xf numFmtId="0" fontId="6" fillId="8" borderId="26" xfId="0" applyAlignment="1">
      <x:alignment vertical="center"/>
    </x:xf>
    <x:xf numFmtId="0" fontId="6" fillId="7" borderId="26" xfId="0" applyAlignment="1">
      <x:alignment vertical="center"/>
    </x:xf>
    <x:xf numFmtId="0" fontId="6" fillId="9" borderId="26" xfId="0" applyAlignment="1">
      <x:alignment vertical="center"/>
    </x:xf>
    <x:xf numFmtId="0" fontId="6" fillId="10" borderId="26" xfId="0" applyAlignment="1">
      <x:alignment vertical="center"/>
    </x:xf>
    <x:xf numFmtId="0" fontId="6" fillId="12" borderId="26" xfId="0" applyAlignment="1">
      <x:alignment vertical="center"/>
    </x:xf>
    <x:xf numFmtId="0" fontId="9" fillId="4" borderId="24" xfId="0" applyAlignment="1">
      <x:alignment vertical="top" wrapText="1"/>
    </x:xf>
    <x:xf numFmtId="0" fontId="12" fillId="0" borderId="0" xfId="0"/>
  </x:cellXfs>
  <x:cellStyles count="1">
    <x:cellStyle name="Normal" xfId="0"/>
  </x:cellStyles>
  <x:dxfs count="4">
    <x:dxf>
      <x:font>
        <x:b/>
        <x:color rgb="FF216E39"/>
      </x:font>
      <x:fill>
        <x:patternFill>
          <x:bgColor rgb="FFDDF2E3"/>
        </x:patternFill>
      </x:fill>
    </x:dxf>
    <x:dxf>
      <x:font>
        <x:b/>
        <x:color rgb="FF805B00"/>
      </x:font>
      <x:fill>
        <x:patternFill>
          <x:bgColor rgb="FFFFF1C7"/>
        </x:patternFill>
      </x:fill>
    </x:dxf>
    <x:dxf>
      <x:font>
        <x:b/>
        <x:color rgb="FFA61B1B"/>
      </x:font>
      <x:fill>
        <x:patternFill>
          <x:bgColor rgb="FFFADBD8"/>
        </x:patternFill>
      </x:fill>
    </x:dxf>
    <x:dxf>
      <x:font>
        <x:color rgb="FF566573"/>
      </x:font>
      <x:fill>
        <x:patternFill>
          <x:bgColor rgb="FFEEF2F5"/>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d4a0c13134d494d" /><Relationship Type="http://schemas.openxmlformats.org/officeDocument/2006/relationships/theme" Target="/xl/theme/theme1.xml" Id="Rbe418e0da9bc465e" /><Relationship Type="http://schemas.openxmlformats.org/officeDocument/2006/relationships/sharedStrings" Target="/xl/sharedStrings.xml" Id="R18dc9341f9214cb3" /><Relationship Type="http://schemas.openxmlformats.org/officeDocument/2006/relationships/worksheet" Target="/xl/worksheets/sheet1.xml" Id="R802089843e1a4cf0" /><Relationship Type="http://schemas.openxmlformats.org/officeDocument/2006/relationships/worksheet" Target="/xl/worksheets/sheet2.xml" Id="R95c9fd6d962549c8" /><Relationship Type="http://schemas.openxmlformats.org/officeDocument/2006/relationships/worksheet" Target="/xl/worksheets/sheet3.xml" Id="R9d893938fd9940e5" /><Relationship Type="http://schemas.openxmlformats.org/officeDocument/2006/relationships/worksheet" Target="/xl/worksheets/sheet4.xml" Id="R7a0a47f781714cab" /><Relationship Type="http://schemas.openxmlformats.org/officeDocument/2006/relationships/worksheet" Target="/xl/worksheets/sheet5.xml" Id="R1c558ae3064b46e2" /><Relationship Type="http://schemas.openxmlformats.org/officeDocument/2006/relationships/worksheet" Target="/xl/worksheets/sheet6.xml" Id="R145796579d674b70" /><Relationship Type="http://schemas.openxmlformats.org/officeDocument/2006/relationships/worksheet" Target="/xl/worksheets/sheet7.xml" Id="R25621185b9744680" /><Relationship Type="http://schemas.openxmlformats.org/officeDocument/2006/relationships/worksheet" Target="/xl/worksheets/sheet8.xml" Id="R3a7722752a474415" /><Relationship Type="http://schemas.openxmlformats.org/officeDocument/2006/relationships/worksheet" Target="/xl/worksheets/sheet9.xml" Id="R552644de0c3c4379" /></Relationships>
</file>

<file path=xl/tables/table1.xml><?xml version="1.0" encoding="utf-8"?>
<x:table xmlns:x="http://schemas.openxmlformats.org/spreadsheetml/2006/main" id="1" name="LaunchTasksTable" displayName="LaunchTasksTable" ref="A10:J46" headerRowCount="1" totalsRowCount="0" totalsRowShown="0">
  <x:autoFilter ref="A10:J46"/>
  <x:tableColumns count="10">
    <x:tableColumn id="1" name="Date"/>
    <x:tableColumn id="2" name="Day"/>
    <x:tableColumn id="3" name="Phase"/>
    <x:tableColumn id="4" name="Morning: copy this entire prompt into Codex"/>
    <x:tableColumn id="5" name="Evening / weekend: exactly what you do"/>
    <x:tableColumn id="6" name="Time cap"/>
    <x:tableColumn id="7" name="Done means"/>
    <x:tableColumn id="8" name="Hard gate?"/>
    <x:tableColumn id="9" name="Status"/>
    <x:tableColumn id="10" name="Notes /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8ce800b184ac45c0"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s>
  <x:sheetData>
    <x:row r="2">
      <x:c r="A2" s="1" t="inlineStr">
        <x:is>
          <x:t xml:space="preserve">YOW November launch sprint — start here</x:t>
        </x:is>
      </x:c>
    </x:row>
    <x:row r="3">
      <x:c r="A3" s="2" t="inlineStr">
        <x:is>
          <x:t xml:space="preserve">Quiet release Sunday 1 November · public launch and marketing Monday 2 November</x:t>
        </x:is>
      </x:c>
    </x:row>
    <x:row r="5" ht="22" customHeight="1">
      <x:c r="A5" s="5" t="inlineStr">
        <x:is>
          <x:t xml:space="preserve">The basic routine</x:t>
        </x:is>
      </x:c>
    </x:row>
    <x:row r="6" ht="22" customHeight="1">
      <x:c r="A6" s="234" t="inlineStr">
        <x:is>
          <x:t xml:space="preserve">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x:t>
        </x:is>
      </x:c>
      <x:c r="B6" s="235" t="n"/>
      <x:c r="C6" s="235" t="n"/>
      <x:c r="D6" s="235" t="n"/>
      <x:c r="E6" s="235" t="n"/>
      <x:c r="F6" s="235" t="n"/>
      <x:c r="G6" s="235" t="n"/>
      <x:c r="H6" s="236" t="n"/>
    </x:row>
    <x:row r="7" ht="22" customHeight="1">
      <x:c r="A7" s="237" t="n"/>
      <x:c r="H7" s="238" t="n"/>
    </x:row>
    <x:row r="8" ht="22" customHeight="1">
      <x:c r="A8" s="237" t="n"/>
      <x:c r="H8" s="238" t="n"/>
    </x:row>
    <x:row r="9" ht="22" customHeight="1">
      <x:c r="A9" s="237" t="n"/>
      <x:c r="H9" s="238" t="n"/>
    </x:row>
    <x:row r="10" ht="22" customHeight="1">
      <x:c r="A10" s="239" t="n"/>
      <x:c r="B10" s="240" t="n"/>
      <x:c r="C10" s="240" t="n"/>
      <x:c r="D10" s="240" t="n"/>
      <x:c r="E10" s="240" t="n"/>
      <x:c r="F10" s="240" t="n"/>
      <x:c r="G10" s="240" t="n"/>
      <x:c r="H10" s="241" t="n"/>
    </x:row>
    <x:row r="11" ht="22" customHeight="1"/>
    <x:row r="12" ht="22" customHeight="1">
      <x:c r="A12" s="5" t="inlineStr">
        <x:is>
          <x:t xml:space="preserve">Your non-negotiable time limits</x:t>
        </x:is>
      </x:c>
    </x:row>
    <x:row r="13" ht="22" customHeight="1">
      <x:c r="A13" s="234" t="inlineStr">
        <x:is>
          <x:t xml:space="preserve">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x:t>
        </x:is>
      </x:c>
      <x:c r="B13" s="235" t="n"/>
      <x:c r="C13" s="235" t="n"/>
      <x:c r="D13" s="235" t="n"/>
      <x:c r="E13" s="235" t="n"/>
      <x:c r="F13" s="235" t="n"/>
      <x:c r="G13" s="235" t="n"/>
      <x:c r="H13" s="236" t="n"/>
    </x:row>
    <x:row r="14" ht="22" customHeight="1">
      <x:c r="A14" s="237" t="n"/>
      <x:c r="H14" s="238" t="n"/>
    </x:row>
    <x:row r="15" ht="22" customHeight="1">
      <x:c r="A15" s="237" t="n"/>
      <x:c r="H15" s="238" t="n"/>
    </x:row>
    <x:row r="16" ht="22" customHeight="1">
      <x:c r="A16" s="237" t="n"/>
      <x:c r="H16" s="238" t="n"/>
    </x:row>
    <x:row r="17" ht="22" customHeight="1">
      <x:c r="A17" s="239" t="n"/>
      <x:c r="B17" s="240" t="n"/>
      <x:c r="C17" s="240" t="n"/>
      <x:c r="D17" s="240" t="n"/>
      <x:c r="E17" s="240" t="n"/>
      <x:c r="F17" s="240" t="n"/>
      <x:c r="G17" s="240" t="n"/>
      <x:c r="H17" s="241" t="n"/>
    </x:row>
    <x:row r="18" ht="22" customHeight="1"/>
    <x:row r="19" ht="22" customHeight="1">
      <x:c r="A19" s="5" t="inlineStr">
        <x:is>
          <x:t xml:space="preserve">How to use the Daily Guide</x:t>
        </x:is>
      </x:c>
    </x:row>
    <x:row r="20" ht="22" customHeight="1">
      <x:c r="A20" s="234" t="inlineStr">
        <x:is>
          <x:t xml:space="preserve">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x:t>
        </x:is>
      </x:c>
      <x:c r="B20" s="235" t="n"/>
      <x:c r="C20" s="235" t="n"/>
      <x:c r="D20" s="235" t="n"/>
      <x:c r="E20" s="235" t="n"/>
      <x:c r="F20" s="235" t="n"/>
      <x:c r="G20" s="235" t="n"/>
      <x:c r="H20" s="236" t="n"/>
    </x:row>
    <x:row r="21" ht="22" customHeight="1">
      <x:c r="A21" s="237" t="n"/>
      <x:c r="H21" s="238" t="n"/>
    </x:row>
    <x:row r="22" ht="22" customHeight="1">
      <x:c r="A22" s="237" t="n"/>
      <x:c r="H22" s="238" t="n"/>
    </x:row>
    <x:row r="23" ht="22" customHeight="1">
      <x:c r="A23" s="237" t="n"/>
      <x:c r="H23" s="238" t="n"/>
    </x:row>
    <x:row r="24" ht="22" customHeight="1">
      <x:c r="A24" s="239" t="n"/>
      <x:c r="B24" s="240" t="n"/>
      <x:c r="C24" s="240" t="n"/>
      <x:c r="D24" s="240" t="n"/>
      <x:c r="E24" s="240" t="n"/>
      <x:c r="F24" s="240" t="n"/>
      <x:c r="G24" s="240" t="n"/>
      <x:c r="H24" s="241" t="n"/>
    </x:row>
    <x:row r="25" ht="22" customHeight="1"/>
    <x:row r="26" ht="22" customHeight="1">
      <x:c r="A26" s="5" t="inlineStr">
        <x:is>
          <x:t xml:space="preserve">Safety rules</x:t>
        </x:is>
      </x:c>
    </x:row>
    <x:row r="27" ht="22" customHeight="1">
      <x:c r="A27" s="234" t="inlineStr">
        <x:is>
          <x:t xml:space="preserve">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x:t>
        </x:is>
      </x:c>
      <x:c r="B27" s="235" t="n"/>
      <x:c r="C27" s="235" t="n"/>
      <x:c r="D27" s="235" t="n"/>
      <x:c r="E27" s="235" t="n"/>
      <x:c r="F27" s="235" t="n"/>
      <x:c r="G27" s="235" t="n"/>
      <x:c r="H27" s="236" t="n"/>
    </x:row>
    <x:row r="28" ht="22" customHeight="1">
      <x:c r="A28" s="237" t="n"/>
      <x:c r="H28" s="238" t="n"/>
    </x:row>
    <x:row r="29" ht="22" customHeight="1">
      <x:c r="A29" s="237" t="n"/>
      <x:c r="H29" s="238" t="n"/>
    </x:row>
    <x:row r="30" ht="22" customHeight="1">
      <x:c r="A30" s="237" t="n"/>
      <x:c r="H30" s="238" t="n"/>
    </x:row>
    <x:row r="31" ht="22" customHeight="1">
      <x:c r="A31" s="239" t="n"/>
      <x:c r="B31" s="240" t="n"/>
      <x:c r="C31" s="240" t="n"/>
      <x:c r="D31" s="240" t="n"/>
      <x:c r="E31" s="240" t="n"/>
      <x:c r="F31" s="240" t="n"/>
      <x:c r="G31" s="240" t="n"/>
      <x:c r="H31" s="241" t="n"/>
    </x:row>
    <x:row r="32" ht="22" customHeight="1"/>
    <x:row r="33" ht="22" customHeight="1">
      <x:c r="A33" s="5" t="inlineStr">
        <x:is>
          <x:t xml:space="preserve">Beta closure and launch</x:t>
        </x:is>
      </x:c>
    </x:row>
    <x:row r="34" ht="22" customHeight="1">
      <x:c r="A34" s="234" t="inlineStr">
        <x:is>
          <x:t xml:space="preserve">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x:t>
        </x:is>
      </x:c>
      <x:c r="B34" s="235" t="n"/>
      <x:c r="C34" s="235" t="n"/>
      <x:c r="D34" s="235" t="n"/>
      <x:c r="E34" s="235" t="n"/>
      <x:c r="F34" s="235" t="n"/>
      <x:c r="G34" s="235" t="n"/>
      <x:c r="H34" s="236" t="n"/>
    </x:row>
    <x:row r="35" ht="22" customHeight="1">
      <x:c r="A35" s="237" t="n"/>
      <x:c r="H35" s="238" t="n"/>
    </x:row>
    <x:row r="36" ht="22" customHeight="1">
      <x:c r="A36" s="237" t="n"/>
      <x:c r="H36" s="238" t="n"/>
    </x:row>
    <x:row r="37" ht="22" customHeight="1">
      <x:c r="A37" s="237" t="n"/>
      <x:c r="H37" s="238" t="n"/>
    </x:row>
    <x:row r="38" ht="22" customHeight="1">
      <x:c r="A38" s="239" t="n"/>
      <x:c r="B38" s="240" t="n"/>
      <x:c r="C38" s="240" t="n"/>
      <x:c r="D38" s="240" t="n"/>
      <x:c r="E38" s="240" t="n"/>
      <x:c r="F38" s="240" t="n"/>
      <x:c r="G38" s="240" t="n"/>
      <x:c r="H38" s="241" t="n"/>
    </x:row>
    <x:row r="39" ht="22" customHeight="1"/>
    <x:row r="40" ht="22" customHeight="1">
      <x:c r="A40" s="5" t="inlineStr">
        <x:is>
          <x:t xml:space="preserve">If something fails</x:t>
        </x:is>
      </x:c>
    </x:row>
    <x:row r="41" ht="22" customHeight="1">
      <x:c r="A41" s="234" t="inlineStr">
        <x:is>
          <x:t xml:space="preserve">A failed auth, data-loss, save, export, desktop, legal, payment, or release-candidate gate moves launch. That is a safety decision, not a personal failure. Record the evidence, stop safely, and let AI prepare the repair. Cosmetic polish and new ideas wait until after launch.</x:t>
        </x:is>
      </x:c>
      <x:c r="B41" s="235" t="n"/>
      <x:c r="C41" s="235" t="n"/>
      <x:c r="D41" s="235" t="n"/>
      <x:c r="E41" s="235" t="n"/>
      <x:c r="F41" s="235" t="n"/>
      <x:c r="G41" s="235" t="n"/>
      <x:c r="H41" s="236" t="n"/>
    </x:row>
    <x:row r="42" ht="22" customHeight="1">
      <x:c r="A42" s="237" t="n"/>
      <x:c r="H42" s="238" t="n"/>
    </x:row>
    <x:row r="43" ht="22" customHeight="1">
      <x:c r="A43" s="237" t="n"/>
      <x:c r="H43" s="238" t="n"/>
    </x:row>
    <x:row r="44" ht="22" customHeight="1">
      <x:c r="A44" s="237" t="n"/>
      <x:c r="H44" s="238" t="n"/>
    </x:row>
    <x:row r="45" ht="22" customHeight="1">
      <x:c r="A45" s="239" t="n"/>
      <x:c r="B45" s="240" t="n"/>
      <x:c r="C45" s="240" t="n"/>
      <x:c r="D45" s="240" t="n"/>
      <x:c r="E45" s="240" t="n"/>
      <x:c r="F45" s="240" t="n"/>
      <x:c r="G45" s="240" t="n"/>
      <x:c r="H45" s="241" t="n"/>
    </x:row>
    <x:row r="46" ht="22" customHeight="1"/>
    <x:row r="47" ht="22" customHeight="1">
      <x:c r="A47" s="5" t="inlineStr">
        <x:is>
          <x:t xml:space="preserve">Import the calendar</x:t>
        </x:is>
      </x:c>
    </x:row>
    <x:row r="48" ht="22" customHeight="1">
      <x:c r="A48" s="234" t="inlineStr">
        <x:is>
          <x:t xml:space="preserve">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x:t>
        </x:is>
      </x:c>
      <x:c r="B48" s="235" t="n"/>
      <x:c r="C48" s="235" t="n"/>
      <x:c r="D48" s="235" t="n"/>
      <x:c r="E48" s="235" t="n"/>
      <x:c r="F48" s="235" t="n"/>
      <x:c r="G48" s="235" t="n"/>
      <x:c r="H48" s="236" t="n"/>
    </x:row>
    <x:row r="49" ht="22" customHeight="1">
      <x:c r="A49" s="237" t="n"/>
      <x:c r="H49" s="238" t="n"/>
    </x:row>
    <x:row r="50" ht="22" customHeight="1">
      <x:c r="A50" s="237" t="n"/>
      <x:c r="H50" s="238" t="n"/>
    </x:row>
    <x:row r="51" ht="22" customHeight="1">
      <x:c r="A51" s="237" t="n"/>
      <x:c r="H51" s="238" t="n"/>
    </x:row>
    <x:row r="52" ht="22" customHeight="1">
      <x:c r="A52" s="239" t="n"/>
      <x:c r="B52" s="240" t="n"/>
      <x:c r="C52" s="240" t="n"/>
      <x:c r="D52" s="240" t="n"/>
      <x:c r="E52" s="240" t="n"/>
      <x:c r="F52" s="240" t="n"/>
      <x:c r="G52" s="240" t="n"/>
      <x:c r="H52" s="241" t="n"/>
    </x:row>
    <x:row r="54">
      <x:c r="A54" s="242" t="inlineStr">
        <x:is>
          <x:t xml:space="preserve">Updated 30 September: work starts 1 October. Use 'Do Now' first, then 'Plan from 1 Oct' as your daily sheet. Daily Guide rows after 6 Oct are marked Moved. Overflow checks are scheduled inside your daily caps; decisions D1-D8 accepted 30 Sep (AI providers: OpenRouter and OpenAI only).</x:t>
        </x:is>
      </x:c>
    </x:row>
  </x:sheetData>
  <x:mergeCells>
    <x:mergeCell ref="A12:H12"/>
    <x:mergeCell ref="A26:H26"/>
    <x:mergeCell ref="A3:H3"/>
    <x:mergeCell ref="A27:H31"/>
    <x:mergeCell ref="A2:H2"/>
    <x:mergeCell ref="A20:H24"/>
    <x:mergeCell ref="A13:H17"/>
    <x:mergeCell ref="A41:H45"/>
    <x:mergeCell ref="A19:H19"/>
    <x:mergeCell ref="A33:H33"/>
    <x:mergeCell ref="A47:H47"/>
    <x:mergeCell ref="A5:H5"/>
    <x:mergeCell ref="A6:H10"/>
    <x:mergeCell ref="A34:H38"/>
    <x:mergeCell ref="A48:H52"/>
    <x:mergeCell ref="A40:H40"/>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4" customWidth="1"/>
    <x:col min="2" max="2" width="28" customWidth="1"/>
    <x:col min="3" max="3" width="110" customWidth="1"/>
    <x:col min="4" max="4" width="26" customWidth="1"/>
    <x:col min="5" max="5" width="12" customWidth="1"/>
  </x:cols>
  <x:sheetData>
    <x:row r="1">
      <x:c r="A1" s="243" t="inlineStr">
        <x:is>
          <x:t xml:space="preserve">Do now — things you can do before the AI has prepared anything. About 1 hour in total, in any order, fitted around your day.</x:t>
        </x:is>
      </x:c>
    </x:row>
    <x:row r="2">
      <x:c r="A2" t="inlineStr">
        <x:is>
          <x:t xml:space="preserve">Never paste passwords, API keys or recovery codes. Never use the owner/admin account for tests. Stop if a screen differs from the steps and tell me exactly what you see.</x:t>
        </x:is>
      </x:c>
    </x:row>
    <x:row r="4">
      <x:c r="A4" s="244" t="inlineStr">
        <x:is>
          <x:t xml:space="preserve">#</x:t>
        </x:is>
      </x:c>
      <x:c r="B4" s="244" t="inlineStr">
        <x:is>
          <x:t xml:space="preserve">Task</x:t>
        </x:is>
      </x:c>
      <x:c r="C4" s="244" t="inlineStr">
        <x:is>
          <x:t xml:space="preserve">Steps</x:t>
        </x:is>
      </x:c>
      <x:c r="D4" s="244" t="inlineStr">
        <x:is>
          <x:t xml:space="preserve">Needs</x:t>
        </x:is>
      </x:c>
      <x:c r="E4" s="244" t="inlineStr">
        <x:is>
          <x:t xml:space="preserve">Sheet ref</x:t>
        </x:is>
      </x:c>
    </x:row>
    <x:row r="5">
      <x:c r="A5" s="245" t="inlineStr">
        <x:is>
          <x:t xml:space="preserve">1</x:t>
        </x:is>
      </x:c>
      <x:c r="B5" s="245" t="inlineStr">
        <x:is>
          <x:t xml:space="preserve">Decisions - DONE 30 Sep</x:t>
        </x:is>
      </x:c>
      <x:c r="C5" s="245" t="inlineStr">
        <x:is>
          <x:t xml:space="preserve">All defaults accepted; AI providers limited to OpenRouter and OpenAI (D5).</x:t>
        </x:is>
      </x:c>
      <x:c r="D5" s="245" t="inlineStr">
        <x:is>
          <x:t xml:space="preserve">Nothing to do</x:t>
        </x:is>
      </x:c>
      <x:c r="E5" s="245" t="inlineStr">
        <x:is>
          <x:t xml:space="preserve">Decisions</x:t>
        </x:is>
      </x:c>
    </x:row>
    <x:row r="6">
      <x:c r="A6" s="245" t="inlineStr">
        <x:is>
          <x:t xml:space="preserve">2</x:t>
        </x:is>
      </x:c>
      <x:c r="B6" s="245" t="inlineStr">
        <x:is>
          <x:t xml:space="preserve">O14 Support inbox test - DONE 30 Sep</x:t>
        </x:is>
      </x:c>
      <x:c r="C6" s="245" t="inlineStr">
        <x:is>
          <x:t xml:space="preserve">Both emails arrived. The reply showed as 'Morgan Bishop, yourownworld.admin@gmail.com' rather than support@ / founders@. Follow-up is task 6.</x:t>
        </x:is>
      </x:c>
      <x:c r="D6" s="245" t="inlineStr">
        <x:is>
          <x:t xml:space="preserve">Done</x:t>
        </x:is>
      </x:c>
      <x:c r="E6" s="245" t="inlineStr">
        <x:is>
          <x:t xml:space="preserve">O14</x:t>
        </x:is>
      </x:c>
    </x:row>
    <x:row r="7">
      <x:c r="A7" s="245" t="inlineStr">
        <x:is>
          <x:t xml:space="preserve">3</x:t>
        </x:is>
      </x:c>
      <x:c r="B7" s="245" t="inlineStr">
        <x:is>
          <x:t xml:space="preserve">O02 Leaked-password protection - DONE 30 Sep</x:t>
        </x:is>
      </x:c>
      <x:c r="C7" s="245" t="inlineStr">
        <x:is>
          <x:t xml:space="preserve">Not offered on your current Supabase plan, so it stays as a known Advisor warning. The AI will check your minimum password rules on 9 Oct instead. Do not upgrade the plan for this.</x:t>
        </x:is>
      </x:c>
      <x:c r="D7" s="245" t="inlineStr">
        <x:is>
          <x:t xml:space="preserve">Done</x:t>
        </x:is>
      </x:c>
      <x:c r="E7" s="245" t="inlineStr">
        <x:is>
          <x:t xml:space="preserve">O02</x:t>
        </x:is>
      </x:c>
    </x:row>
    <x:row r="8">
      <x:c r="A8" s="245" t="inlineStr">
        <x:is>
          <x:t xml:space="preserve">4</x:t>
        </x:is>
      </x:c>
      <x:c r="B8" s="245" t="inlineStr">
        <x:is>
          <x:t xml:space="preserve">O06 Windows machine - DONE 30 Sep</x:t>
        </x:is>
      </x:c>
      <x:c r="C8" s="245" t="inlineStr">
        <x:is>
          <x:t xml:space="preserve">You have a real Windows PC with admin rights. Quick extra: press the Windows key + R, type winver, press Enter, and note the Windows version shown (then close the box). Tell me whenever convenient, before 17 Oct. Do not install anything yet.</x:t>
        </x:is>
      </x:c>
      <x:c r="D8" s="245" t="inlineStr">
        <x:is>
          <x:t xml:space="preserve">Done</x:t>
        </x:is>
      </x:c>
      <x:c r="E8" s="245" t="inlineStr">
        <x:is>
          <x:t xml:space="preserve">O06</x:t>
        </x:is>
      </x:c>
    </x:row>
    <x:row r="9">
      <x:c r="A9" s="245" t="inlineStr">
        <x:is>
          <x:t xml:space="preserve">5</x:t>
        </x:is>
      </x:c>
      <x:c r="B9" s="245" t="inlineStr">
        <x:is>
          <x:t xml:space="preserve">O01 Fresh-account walkthrough - DONE 30 Sep (owner-attested)</x:t>
        </x:is>
      </x:c>
      <x:c r="C9" s="245" t="inlineStr">
        <x:is>
          <x:t xml:space="preserve">You have run this many times, so it is recorded as passed on your word. No formal evidence was saved; if a fresh-account problem ever shows up we will reopen it.</x:t>
        </x:is>
      </x:c>
      <x:c r="D9" s="245" t="inlineStr">
        <x:is>
          <x:t xml:space="preserve">Done</x:t>
        </x:is>
      </x:c>
      <x:c r="E9" s="245" t="inlineStr">
        <x:is>
          <x:t xml:space="preserve">O01</x:t>
        </x:is>
      </x:c>
    </x:row>
    <x:row r="10">
      <x:c r="A10" s="245" t="inlineStr">
        <x:is>
          <x:t xml:space="preserve">6</x:t>
        </x:is>
      </x:c>
      <x:c r="B10" s="245" t="inlineStr">
        <x:is>
          <x:t xml:space="preserve">O16 Replies show the YOW address (about 20 min)</x:t>
        </x:is>
      </x:c>
      <x:c r="C10" s="245" t="inlineStr">
        <x:is>
          <x:t xml:space="preserve">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x:t>
        </x:is>
      </x:c>
      <x:c r="D10" s="245" t="inlineStr">
        <x:is>
          <x:t xml:space="preserve">Resend dashboard + Gmail settings</x:t>
        </x:is>
      </x:c>
      <x:c r="E10" s="245" t="inlineStr">
        <x:is>
          <x:t xml:space="preserve">O16</x:t>
        </x:is>
      </x:c>
    </x:row>
    <x:row r="11">
      <x:c r="A11" s="245" t="inlineStr">
        <x:is>
          <x:t xml:space="preserve">7</x:t>
        </x:is>
      </x:c>
      <x:c r="B11" s="245" t="inlineStr">
        <x:is>
          <x:t xml:space="preserve">Check the new exports - DONE 2 Oct</x:t>
        </x:is>
      </x:c>
      <x:c r="C11" s="245" t="inlineStr">
        <x:is>
          <x:t xml:space="preserve">1. Open YOW (live site, after the update finishes deploying).
2. Graphic Novel project: Project Settings &gt; Export &gt; PDF. Open it and confirm each comic page and its images are there.
3. D&amp;D project: Export &gt; Word (ZIP). Open the Campaign Sessions file and confirm each encounter's text is under its session.
4. Party &gt; click a character &gt; Download PDF (top right). Compare with the on-screen sheet.
Tell Claude what looks wrong; do not fix anything yourself.</x:t>
        </x:is>
      </x:c>
      <x:c r="D11" s="245" t="inlineStr">
        <x:is>
          <x:t xml:space="preserve">Done</x:t>
        </x:is>
      </x:c>
      <x:c r="E11" s="245" t="inlineStr">
        <x:is>
          <x:t xml:space="preserve">Plan from 1 Oct, 2 Oct</x:t>
        </x:is>
      </x:c>
    </x:row>
  </x:sheetData>
  <x:pageMargins left="0.7" right="0.7" top="0.75" bottom="0.75" header="0.3" footer="0.3"/>
</x:worksheet>
</file>

<file path=xl/worksheets/sheet3.xml><?xml version="1.0" encoding="utf-8"?>
<x:worksheet xmlns:x="http://schemas.openxmlformats.org/spreadsheetml/2006/main">
  <x:sheetViews>
    <x:sheetView workbookViewId="0">
      <x:pane xSplit="3" ySplit="4" topLeftCell="D5" activePane="bottomRight" state="frozen"/>
    </x:sheetView>
  </x:sheetViews>
  <x:sheetFormatPr baseColWidth="8" defaultRowHeight="15"/>
  <x:cols>
    <x:col min="1" max="1" width="12" customWidth="1"/>
    <x:col min="2" max="2" width="6" customWidth="1"/>
    <x:col min="3" max="3" width="18" customWidth="1"/>
    <x:col min="4" max="4" width="55" customWidth="1"/>
    <x:col min="5" max="5" width="70" customWidth="1"/>
    <x:col min="6" max="6" width="55" customWidth="1"/>
    <x:col min="7" max="7" width="16" customWidth="1"/>
    <x:col min="8" max="8" width="18" customWidth="1"/>
    <x:col min="9" max="9" width="10" customWidth="1"/>
    <x:col min="10" max="10" width="8" customWidth="1"/>
    <x:col min="11" max="11" width="12" customWidth="1"/>
    <x:col min="12" max="12" width="40" customWidth="1"/>
    <x:col min="13" max="13" width="14" customWidth="1"/>
  </x:cols>
  <x:sheetData>
    <x:row r="1">
      <x:c r="A1" s="243" t="inlineStr">
        <x:is>
          <x:t xml:space="preserve">YOW launch plan from 1 October — every open roadmap item scheduled; owner overflow fits inside the day caps. Launch still Sun 1 Nov (quiet) / Mon 2 Nov (public).</x:t>
        </x:is>
      </x:c>
    </x:row>
    <x:row r="2">
      <x:c r="A2" t="inlineStr">
        <x:is>
          <x:t xml:space="preserve">AI work is uncapped and runs from the daily 07:15 handoff. Your time: weekday 10 min + evening cap, weekend 15 min + up to 3 h 45 min. Do not paste secrets. A failed hard gate moves the date. Status: Not started / In progress / Done / Blocked.</x:t>
        </x:is>
      </x:c>
    </x:row>
    <x:row r="3">
      <x:c r="O3" t="inlineStr">
        <x:is>
          <x:t xml:space="preserve">Tasks</x:t>
        </x:is>
      </x:c>
      <x:c r="P3" t="n">
        <x:f>COUNTA(A5:A37)</x:f>
        <x:v>33</x:v>
      </x:c>
    </x:row>
    <x:row r="4">
      <x:c r="A4" s="244" t="inlineStr">
        <x:is>
          <x:t xml:space="preserve">Date</x:t>
        </x:is>
      </x:c>
      <x:c r="B4" s="244" t="inlineStr">
        <x:is>
          <x:t xml:space="preserve">Day</x:t>
        </x:is>
      </x:c>
      <x:c r="C4" s="244" t="inlineStr">
        <x:is>
          <x:t xml:space="preserve">Phase</x:t>
        </x:is>
      </x:c>
      <x:c r="D4" s="244" t="inlineStr">
        <x:is>
          <x:t xml:space="preserve">AI assignment (AI does this)</x:t>
        </x:is>
      </x:c>
      <x:c r="E4" s="244" t="inlineStr">
        <x:is>
          <x:t xml:space="preserve">Also close today (AI does this)</x:t>
        </x:is>
      </x:c>
      <x:c r="F4" s="244" t="inlineStr">
        <x:is>
          <x:t xml:space="preserve">Your task (guided, one step at a time)</x:t>
        </x:is>
      </x:c>
      <x:c r="G4" s="244" t="inlineStr">
        <x:is>
          <x:t xml:space="preserve">Your time cap</x:t>
        </x:is>
      </x:c>
      <x:c r="H4" s="244" t="inlineStr">
        <x:is>
          <x:t xml:space="preserve">Extra owner items today (Owner Overflow)</x:t>
        </x:is>
      </x:c>
      <x:c r="I4" s="244" t="inlineStr">
        <x:is>
          <x:t xml:space="preserve">Spare owner minutes</x:t>
        </x:is>
      </x:c>
      <x:c r="J4" s="244" t="inlineStr">
        <x:is>
          <x:t xml:space="preserve">Hard gate?</x:t>
        </x:is>
      </x:c>
      <x:c r="K4" s="244" t="inlineStr">
        <x:is>
          <x:t xml:space="preserve">Status</x:t>
        </x:is>
      </x:c>
      <x:c r="L4" s="244" t="inlineStr">
        <x:is>
          <x:t xml:space="preserve">Notes / evidence</x:t>
        </x:is>
      </x:c>
      <x:c r="M4" s="244" t="inlineStr">
        <x:is>
          <x:t xml:space="preserve">From original plan date</x:t>
        </x:is>
      </x:c>
      <x:c r="O4" t="inlineStr">
        <x:is>
          <x:t xml:space="preserve">Done</x:t>
        </x:is>
      </x:c>
      <x:c r="P4" t="n">
        <x:f>COUNTIF(K5:K37,"Done")</x:f>
        <x:v>2</x:v>
      </x:c>
    </x:row>
    <x:row r="5">
      <x:c r="A5" s="246" t="n">
        <x:v>46296</x:v>
      </x:c>
      <x:c r="B5" s="245" t="inlineStr">
        <x:is>
          <x:t xml:space="preserve">Thu</x:t>
        </x:is>
      </x:c>
      <x:c r="C5" s="245" t="inlineStr">
        <x:is>
          <x:t xml:space="preserve">Cloud &amp; security</x:t>
        </x:is>
      </x:c>
      <x:c r="D5" s="245" t="inlineStr">
        <x:is>
          <x:t xml:space="preserve">Finish the cloud-expiry/inactive-account lifecycle implementation and tests: notices, Export All, grace, archive/delete, and cloud-write shutdown.</x:t>
        </x:is>
      </x:c>
      <x:c r="E5" s="245" t="inlineStr">
        <x:is>
          <x:t xml:space="preserve">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x:t>
        </x:is>
      </x:c>
      <x:c r="F5" s="245" t="inlineStr">
        <x:is>
          <x:t xml:space="preserve">Review the customer-visible sequence and approve the exact wording.</x:t>
        </x:is>
      </x:c>
      <x:c r="G5" s="245" t="inlineStr">
        <x:is>
          <x:t xml:space="preserve">10 min + 75 min</x:t>
        </x:is>
      </x:c>
      <x:c r="H5" s="245" t="inlineStr">
        <x:is>
          <x:t xml:space="preserve">—</x:t>
        </x:is>
      </x:c>
      <x:c r="I5" s="245" t="n">
        <x:v>0</x:v>
      </x:c>
      <x:c r="J5" s="245" t="inlineStr">
        <x:is>
          <x:t xml:space="preserve">Yes</x:t>
        </x:is>
      </x:c>
      <x:c r="K5" s="245" t="inlineStr">
        <x:is>
          <x:t xml:space="preserve">Done</x:t>
        </x:is>
      </x:c>
      <x:c r="L5" s="245" t="inlineStr">
        <x:is>
          <x:t xml:space="preserve">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x:t>
        </x:is>
      </x:c>
      <x:c r="M5" s="245" t="inlineStr">
        <x:is>
          <x:t xml:space="preserve">2026-10-07</x:t>
        </x:is>
      </x:c>
      <x:c r="O5" t="inlineStr">
        <x:is>
          <x:t xml:space="preserve">Blocked</x:t>
        </x:is>
      </x:c>
      <x:c r="P5" t="n">
        <x:f>COUNTIF(K5:K37,"Blocked")</x:f>
        <x:v>0</x:v>
      </x:c>
    </x:row>
    <x:row r="6">
      <x:c r="A6" s="246" t="n">
        <x:v>46297</x:v>
      </x:c>
      <x:c r="B6" s="245" t="inlineStr">
        <x:is>
          <x:t xml:space="preserve">Fri</x:t>
        </x:is>
      </x:c>
      <x:c r="C6" s="245" t="inlineStr">
        <x:is>
          <x:t xml:space="preserve">Cloud &amp; security</x:t>
        </x:is>
      </x:c>
      <x:c r="D6" s="245" t="inlineStr">
        <x:is>
          <x:t xml:space="preserve">Run complete ZIP/DOCX/PDF/World Bible ownership and privacy checks, including expiry access and readable output inspection.</x:t>
        </x:is>
      </x:c>
      <x:c r="E6" s="245" t="inlineStr">
        <x:is>
          <x:t xml:space="preserve">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x:t>
        </x:is>
      </x:c>
      <x:c r="F6" s="245" t="inlineStr">
        <x:is>
          <x:t xml:space="preserve">Open the generated files and confirm the expected content is present and private data is absent where promised.</x:t>
        </x:is>
      </x:c>
      <x:c r="G6" s="245" t="inlineStr">
        <x:is>
          <x:t xml:space="preserve">10 min + 90 min</x:t>
        </x:is>
      </x:c>
      <x:c r="H6" s="245" t="inlineStr">
        <x:is>
          <x:t xml:space="preserve">—</x:t>
        </x:is>
      </x:c>
      <x:c r="I6" s="245" t="n">
        <x:v>0</x:v>
      </x:c>
      <x:c r="J6" s="245" t="inlineStr">
        <x:is>
          <x:t xml:space="preserve">Yes</x:t>
        </x:is>
      </x:c>
      <x:c r="K6" s="245" t="inlineStr">
        <x:is>
          <x:t xml:space="preserve">Done</x:t>
        </x:is>
      </x:c>
      <x:c r="L6" s="245" t="inlineStr">
        <x:is>
          <x:t xml:space="preserve">Done 2026-10-02. Owner re-checked the new exports (Graphic Novel PDF, D&amp;D Word ZIP, character sheet PDF) on 2 Oct and confirmed they look good. Fixed and merged (PR #247): Graphic Novel PDF has comic pages, panel text and page/panel images; D&amp;D Word export keeps each encounter's full text in the Campaign Sessions file; party character sheet PDF added. Six-project-type export privacy matrix test merged (PR #249). D&amp;D Campaign renamed 5E Campaign in user-facing copy (PR #250).</x:t>
        </x:is>
      </x:c>
      <x:c r="M6" s="245" t="inlineStr">
        <x:is>
          <x:t xml:space="preserve">2026-10-08</x:t>
        </x:is>
      </x:c>
      <x:c r="O6" t="inlineStr">
        <x:is>
          <x:t xml:space="preserve">Progress</x:t>
        </x:is>
      </x:c>
      <x:c r="P6" s="247" t="n">
        <x:f>IFERROR(P4/P3,0)</x:f>
        <x:v>0.06060606060606061</x:v>
      </x:c>
    </x:row>
    <x:row r="7">
      <x:c r="A7" s="246" t="n">
        <x:v>46298</x:v>
      </x:c>
      <x:c r="B7" s="245" t="inlineStr">
        <x:is>
          <x:t xml:space="preserve">Sat</x:t>
        </x:is>
      </x:c>
      <x:c r="C7" s="245" t="inlineStr">
        <x:is>
          <x:t xml:space="preserve">Cloud &amp; security</x:t>
        </x:is>
      </x:c>
      <x:c r="D7" s="245" t="inlineStr">
        <x:is>
          <x:t xml:space="preserve">Retrieve or document the missing production function definitions, close reproducible database-build gaps, and rerun database checks.</x:t>
        </x:is>
      </x:c>
      <x:c r="E7" s="245" t="inlineStr">
        <x:is>
          <x:t xml:space="preserve">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x:t>
        </x:is>
      </x:c>
      <x:c r="F7" s="245" t="inlineStr">
        <x:is>
          <x:t xml:space="preserve">Provide guided production access only if needed; review the database continuity result. Also (O17): create the two Free test accounts and run the deletion end-to-end test using the AI's SQL (about 60 min).</x:t>
        </x:is>
      </x:c>
      <x:c r="G7" s="245" t="inlineStr">
        <x:is>
          <x:t xml:space="preserve">15 min + up to 3 h 45 min</x:t>
        </x:is>
      </x:c>
      <x:c r="H7" s="245" t="inlineStr">
        <x:is>
          <x:t xml:space="preserve">O03, O16, O17</x:t>
        </x:is>
      </x:c>
      <x:c r="I7" s="245" t="n">
        <x:v>75</x:v>
      </x:c>
      <x:c r="J7" s="245" t="inlineStr">
        <x:is>
          <x:t xml:space="preserve">Yes</x:t>
        </x:is>
      </x:c>
      <x:c r="K7" s="245" t="inlineStr">
        <x:is>
          <x:t xml:space="preserve">Not started</x:t>
        </x:is>
      </x:c>
      <x:c r="L7" s="245" t="inlineStr">
        <x:is>
          <x:t xml:space="preserve">O17 (Free-account deletion end-to-end) already done and passed on 2 Oct. See Owner Overflow O17 and docs/QA_PLAN.md. Remaining 3 Oct work is the rest of this day's assignment.</x:t>
        </x:is>
      </x:c>
      <x:c r="M7" s="245" t="inlineStr">
        <x:is>
          <x:t xml:space="preserve">2026-10-09</x:t>
        </x:is>
      </x:c>
    </x:row>
    <x:row r="8">
      <x:c r="A8" s="246" t="n">
        <x:v>46299</x:v>
      </x:c>
      <x:c r="B8" s="245" t="inlineStr">
        <x:is>
          <x:t xml:space="preserve">Sun</x:t>
        </x:is>
      </x:c>
      <x:c r="C8" s="245" t="inlineStr">
        <x:is>
          <x:t xml:space="preserve">Cloud &amp; security</x:t>
        </x:is>
      </x:c>
      <x:c r="D8" s="245" t="inlineStr">
        <x:is>
          <x:t xml:space="preserve">Run the entire data-safety/auth/export matrix and fix failures in priority order.</x:t>
        </x:is>
      </x:c>
      <x:c r="E8" s="245" t="inlineStr">
        <x:is>
          <x:t xml:space="preserve">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x:t>
        </x:is>
      </x:c>
      <x:c r="F8" s="245" t="inlineStr">
        <x:is>
          <x:t xml:space="preserve">Perform the remaining real-account checks in two focused blocks; stop at four hours.</x:t>
        </x:is>
      </x:c>
      <x:c r="G8" s="245" t="inlineStr">
        <x:is>
          <x:t xml:space="preserve">15 min + up to 3 h 45 min</x:t>
        </x:is>
      </x:c>
      <x:c r="H8" s="245" t="inlineStr">
        <x:is>
          <x:t xml:space="preserve">—</x:t>
        </x:is>
      </x:c>
      <x:c r="I8" s="245" t="n">
        <x:v>0</x:v>
      </x:c>
      <x:c r="J8" s="245" t="inlineStr">
        <x:is>
          <x:t xml:space="preserve">Yes</x:t>
        </x:is>
      </x:c>
      <x:c r="K8" s="245" t="inlineStr">
        <x:is>
          <x:t xml:space="preserve">Not started</x:t>
        </x:is>
      </x:c>
      <x:c r="L8" s="245" t="inlineStr">
        <x:is>
          <x:t xml:space="preserve"/>
        </x:is>
      </x:c>
      <x:c r="M8" s="245" t="inlineStr">
        <x:is>
          <x:t xml:space="preserve">2026-10-10</x:t>
        </x:is>
      </x:c>
    </x:row>
    <x:row r="9">
      <x:c r="A9" s="246" t="n">
        <x:v>46300</x:v>
      </x:c>
      <x:c r="B9" s="245" t="inlineStr">
        <x:is>
          <x:t xml:space="preserve">Mon</x:t>
        </x:is>
      </x:c>
      <x:c r="C9" s="245" t="inlineStr">
        <x:is>
          <x:t xml:space="preserve">Cloud &amp; security</x:t>
        </x:is>
      </x:c>
      <x:c r="D9" s="245" t="inlineStr">
        <x:is>
          <x:t xml:space="preserve">Use the day as the hard-gate repair buffer, rerun the whole matrix, and produce a signed-off evidence summary.</x:t>
        </x:is>
      </x:c>
      <x:c r="E9" s="245" t="inlineStr">
        <x:is>
          <x:t xml:space="preserve">1. Data safety gate and Export ownership gate: write each gate's evidence summary; move a gate to Passed only with evidence, otherwise list the exact remaining blocker</x:t>
        </x:is>
      </x:c>
      <x:c r="F9" s="245" t="inlineStr">
        <x:is>
          <x:t xml:space="preserve">Review the summary. Mark the gate Done only if no data-loss/auth/export blocker remains.</x:t>
        </x:is>
      </x:c>
      <x:c r="G9" s="245" t="inlineStr">
        <x:is>
          <x:t xml:space="preserve">10 min + 110 min</x:t>
        </x:is>
      </x:c>
      <x:c r="H9" s="245" t="inlineStr">
        <x:is>
          <x:t xml:space="preserve">O04, O05</x:t>
        </x:is>
      </x:c>
      <x:c r="I9" s="245" t="n">
        <x:v>20</x:v>
      </x:c>
      <x:c r="J9" s="245" t="inlineStr">
        <x:is>
          <x:t xml:space="preserve">Yes</x:t>
        </x:is>
      </x:c>
      <x:c r="K9" s="245" t="inlineStr">
        <x:is>
          <x:t xml:space="preserve">Not started</x:t>
        </x:is>
      </x:c>
      <x:c r="L9" s="245" t="inlineStr">
        <x:is>
          <x:t xml:space="preserve"/>
        </x:is>
      </x:c>
      <x:c r="M9" s="245" t="inlineStr">
        <x:is>
          <x:t xml:space="preserve">2026-10-11</x:t>
        </x:is>
      </x:c>
    </x:row>
    <x:row r="10">
      <x:c r="A10" s="246" t="n">
        <x:v>46301</x:v>
      </x:c>
      <x:c r="B10" s="245" t="inlineStr">
        <x:is>
          <x:t xml:space="preserve">Tue</x:t>
        </x:is>
      </x:c>
      <x:c r="C10" s="245" t="inlineStr">
        <x:is>
          <x:t xml:space="preserve">Desktop</x:t>
        </x:is>
      </x:c>
      <x:c r="D10" s="245" t="inlineStr">
        <x:is>
          <x:t xml:space="preserve">Implement/finish the full signed-in Tauri project workspace and run desktop unit/Rust/build checks.</x:t>
        </x:is>
      </x:c>
      <x:c r="E10" s="245" t="str">
        <x:v>1. Desktop entitlement matrix: Free and Monthly are rejected; Lifetime and eligible Beta behaviour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Full Lifetime desktop workspace and device list work; Free and Monthly cannot download or activate the desktop app</x:v>
      </x:c>
      <x:c r="F10" s="245" t="str">
        <x:v>Open the Mac test build with a Lifetime test account and verify login, library, project navigation, and writing.</x:v>
      </x:c>
      <x:c r="G10" s="245" t="inlineStr">
        <x:is>
          <x:t xml:space="preserve">10 min + 100 min</x:t>
        </x:is>
      </x:c>
      <x:c r="H10" s="245" t="inlineStr">
        <x:is>
          <x:t xml:space="preserve">—</x:t>
        </x:is>
      </x:c>
      <x:c r="I10" s="245" t="n">
        <x:v>0</x:v>
      </x:c>
      <x:c r="J10" s="245" t="inlineStr">
        <x:is>
          <x:t xml:space="preserve">Yes</x:t>
        </x:is>
      </x:c>
      <x:c r="K10" s="245" t="str">
        <x:v>In progress</x:v>
      </x:c>
      <x:c r="L10" s="245" t="str">
        <x:v>Partial evidence 5 Oct 2026: Monthly desktop access was removed from membership, pricing, downloads, cached entitlement and the server device API. Monthly download/device checks now reject access. Focused billing/entitlement tests passed 128/128; full Vitest passed 162 files / 1,563 tests, with zero lint errors and a production build. Packaged Mac/Windows and real-device Lifetime workspace checks remain.</x:v>
      </x:c>
      <x:c r="M10" s="245" t="inlineStr">
        <x:is>
          <x:t xml:space="preserve">2026-10-12</x:t>
        </x:is>
      </x:c>
    </x:row>
    <x:row r="11">
      <x:c r="A11" s="246" t="n">
        <x:v>46302</x:v>
      </x:c>
      <x:c r="B11" s="245" t="inlineStr">
        <x:is>
          <x:t xml:space="preserve">Wed</x:t>
        </x:is>
      </x:c>
      <x:c r="C11" s="245" t="inlineStr">
        <x:is>
          <x:t xml:space="preserve">Desktop</x:t>
        </x:is>
      </x:c>
      <x:c r="D11" s="245" t="inlineStr">
        <x:is>
          <x:t xml:space="preserve">Stress the desktop vault: write-behind durability, quit/force-quit, snapshot, restore, relocation, integrity, and disk-error handling.</x:t>
        </x:is>
      </x:c>
      <x:c r="E11" s="245" t="inlineStr">
        <x:is>
          <x:t xml:space="preserve">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x:t>
        </x:is>
      </x:c>
      <x:c r="F11" s="245" t="inlineStr">
        <x:is>
          <x:t xml:space="preserve">Run the guided vault persistence and restore test with an isolated test vault.</x:t>
        </x:is>
      </x:c>
      <x:c r="G11" s="245" t="inlineStr">
        <x:is>
          <x:t xml:space="preserve">10 min + 100 min</x:t>
        </x:is>
      </x:c>
      <x:c r="H11" s="245" t="inlineStr">
        <x:is>
          <x:t xml:space="preserve">—</x:t>
        </x:is>
      </x:c>
      <x:c r="I11" s="245" t="n">
        <x:v>0</x:v>
      </x:c>
      <x:c r="J11" s="245" t="inlineStr">
        <x:is>
          <x:t xml:space="preserve">Yes</x:t>
        </x:is>
      </x:c>
      <x:c r="K11" s="245" t="inlineStr">
        <x:is>
          <x:t xml:space="preserve">Not started</x:t>
        </x:is>
      </x:c>
      <x:c r="L11" s="245" t="inlineStr">
        <x:is>
          <x:t xml:space="preserve"/>
        </x:is>
      </x:c>
      <x:c r="M11" s="245" t="inlineStr">
        <x:is>
          <x:t xml:space="preserve">2026-10-13</x:t>
        </x:is>
      </x:c>
    </x:row>
    <x:row r="12">
      <x:c r="A12" s="246" t="n">
        <x:v>46303</x:v>
      </x:c>
      <x:c r="B12" s="245" t="inlineStr">
        <x:is>
          <x:t xml:space="preserve">Thu</x:t>
        </x:is>
      </x:c>
      <x:c r="C12" s="245" t="inlineStr">
        <x:is>
          <x:t xml:space="preserve">Desktop</x:t>
        </x:is>
      </x:c>
      <x:c r="D12" s="245" t="inlineStr">
        <x:is>
          <x:t xml:space="preserve">Verify and repair native ZIP/DOCX/PDF/PNG save dialogs and file contents in packaged desktop builds.</x:t>
        </x:is>
      </x:c>
      <x:c r="E12" s="245" t="inlineStr">
        <x:is>
          <x:t xml:space="preserve">1. Map PNG export and rendered exports from the packaged desktop build (alongside ZIP/DOCX/PDF save dialogs)</x:t>
        </x:is>
      </x:c>
      <x:c r="F12" s="245" t="inlineStr">
        <x:is>
          <x:t xml:space="preserve">Save and open each format from the packaged Mac app.</x:t>
        </x:is>
      </x:c>
      <x:c r="G12" s="245" t="inlineStr">
        <x:is>
          <x:t xml:space="preserve">10 min + 90 min</x:t>
        </x:is>
      </x:c>
      <x:c r="H12" s="245" t="inlineStr">
        <x:is>
          <x:t xml:space="preserve">—</x:t>
        </x:is>
      </x:c>
      <x:c r="I12" s="245" t="n">
        <x:v>0</x:v>
      </x:c>
      <x:c r="J12" s="245" t="inlineStr">
        <x:is>
          <x:t xml:space="preserve">Yes</x:t>
        </x:is>
      </x:c>
      <x:c r="K12" s="245" t="inlineStr">
        <x:is>
          <x:t xml:space="preserve">Not started</x:t>
        </x:is>
      </x:c>
      <x:c r="L12" s="245" t="inlineStr">
        <x:is>
          <x:t xml:space="preserve"/>
        </x:is>
      </x:c>
      <x:c r="M12" s="245" t="inlineStr">
        <x:is>
          <x:t xml:space="preserve">2026-10-14</x:t>
        </x:is>
      </x:c>
    </x:row>
    <x:row r="13">
      <x:c r="A13" s="246" t="n">
        <x:v>46304</x:v>
      </x:c>
      <x:c r="B13" s="245" t="inlineStr">
        <x:is>
          <x:t xml:space="preserve">Fri</x:t>
        </x:is>
      </x:c>
      <x:c r="C13" s="245" t="inlineStr">
        <x:is>
          <x:t xml:space="preserve">Desktop</x:t>
        </x:is>
      </x:c>
      <x:c r="D13" s="245" t="inlineStr">
        <x:is>
          <x:t xml:space="preserve">Finish Local Mode/lapse/renewal merge logic, cold-start retry, conflict surfacing, and no-cloud-write verification.</x:t>
        </x:is>
      </x:c>
      <x:c r="E13" s="245" t="inlineStr">
        <x:is>
          <x:t xml:space="preserve">1. Cloud sync fully removed on lapse; automatic resume on renewal; Storage tab shows only 'Cloud sync unavailable' + renew CTA
2. Renewal checkout (GBP 6 hosting) path from desktop: web cloud-required behaviour, entitlement metadata</x:t>
        </x:is>
      </x:c>
      <x:c r="F13" s="245" t="inlineStr">
        <x:is>
          <x:t xml:space="preserve">Run the guided lapse → web edit → renewal → desktop merge scenario.</x:t>
        </x:is>
      </x:c>
      <x:c r="G13" s="245" t="inlineStr">
        <x:is>
          <x:t xml:space="preserve">10 min + 100 min</x:t>
        </x:is>
      </x:c>
      <x:c r="H13" s="245" t="inlineStr">
        <x:is>
          <x:t xml:space="preserve">—</x:t>
        </x:is>
      </x:c>
      <x:c r="I13" s="245" t="n">
        <x:v>0</x:v>
      </x:c>
      <x:c r="J13" s="245" t="inlineStr">
        <x:is>
          <x:t xml:space="preserve">Yes</x:t>
        </x:is>
      </x:c>
      <x:c r="K13" s="245" t="inlineStr">
        <x:is>
          <x:t xml:space="preserve">Not started</x:t>
        </x:is>
      </x:c>
      <x:c r="L13" s="245" t="inlineStr">
        <x:is>
          <x:t xml:space="preserve"/>
        </x:is>
      </x:c>
      <x:c r="M13" s="245" t="inlineStr">
        <x:is>
          <x:t xml:space="preserve">2026-10-15</x:t>
        </x:is>
      </x:c>
    </x:row>
    <x:row r="14">
      <x:c r="A14" s="246" t="n">
        <x:v>46305</x:v>
      </x:c>
      <x:c r="B14" s="245" t="inlineStr">
        <x:is>
          <x:t xml:space="preserve">Sat</x:t>
        </x:is>
      </x:c>
      <x:c r="C14" s="245" t="inlineStr">
        <x:is>
          <x:t xml:space="preserve">Desktop</x:t>
        </x:is>
      </x:c>
      <x:c r="D14" s="245" t="inlineStr">
        <x:is>
          <x:t xml:space="preserve">Finalise updater manifests, download entitlement gating, installer URLs, hashes, provenance, and unsigned-app instructions.</x:t>
        </x:is>
      </x:c>
      <x:c r="E14" s="245" t="inlineStr">
        <x:is>
          <x:t xml:space="preserve">1. Unsigned-app disclosure shown prominently before purchase (Pricing, Download, FAQ, checkout) plus Gatekeeper/SmartScreen bypass steps
2. Updater manifest covers every supported platform/architecture; test bad signature, missing platform, offline, interrupted update</x:t>
        </x:is>
      </x:c>
      <x:c r="F14" s="245" t="inlineStr">
        <x:is>
          <x:t xml:space="preserve">Review the download page and Mac instructions as a customer.</x:t>
        </x:is>
      </x:c>
      <x:c r="G14" s="245" t="inlineStr">
        <x:is>
          <x:t xml:space="preserve">15 min + up to 3 h 45 min</x:t>
        </x:is>
      </x:c>
      <x:c r="H14" s="245" t="inlineStr">
        <x:is>
          <x:t xml:space="preserve">O08, O09</x:t>
        </x:is>
      </x:c>
      <x:c r="I14" s="245" t="n">
        <x:v>85</x:v>
      </x:c>
      <x:c r="J14" s="245" t="inlineStr">
        <x:is>
          <x:t xml:space="preserve">Yes</x:t>
        </x:is>
      </x:c>
      <x:c r="K14" s="245" t="inlineStr">
        <x:is>
          <x:t xml:space="preserve">Not started</x:t>
        </x:is>
      </x:c>
      <x:c r="L14" s="245" t="inlineStr">
        <x:is>
          <x:t xml:space="preserve"/>
        </x:is>
      </x:c>
      <x:c r="M14" s="245" t="inlineStr">
        <x:is>
          <x:t xml:space="preserve">2026-10-16</x:t>
        </x:is>
      </x:c>
    </x:row>
    <x:row r="15">
      <x:c r="A15" s="246" t="n">
        <x:v>46306</x:v>
      </x:c>
      <x:c r="B15" s="245" t="inlineStr">
        <x:is>
          <x:t xml:space="preserve">Sun</x:t>
        </x:is>
      </x:c>
      <x:c r="C15" s="245" t="inlineStr">
        <x:is>
          <x:t xml:space="preserve">Desktop</x:t>
        </x:is>
      </x:c>
      <x:c r="D15" s="245" t="inlineStr">
        <x:is>
          <x:t xml:space="preserve">Produce and inspect the final Mac candidate; drive clean-machine install, workspace, export, restore, updater, and uninstall acceptance.</x:t>
        </x:is>
      </x:c>
      <x:c r="E15" s="245" t="inlineStr">
        <x:is>
          <x:t xml:space="preserve">1. Clean-machine Mac: Gatekeeper bypass steps as a customer, install, update from previous release, uninstall leaves vault intact</x:t>
        </x:is>
      </x:c>
      <x:c r="F15" s="245" t="inlineStr">
        <x:is>
          <x:t xml:space="preserve">Complete the clean/test Mac checklist in two blocks.</x:t>
        </x:is>
      </x:c>
      <x:c r="G15" s="245" t="inlineStr">
        <x:is>
          <x:t xml:space="preserve">15 min + up to 3 h 45 min</x:t>
        </x:is>
      </x:c>
      <x:c r="H15" s="245" t="inlineStr">
        <x:is>
          <x:t xml:space="preserve">—</x:t>
        </x:is>
      </x:c>
      <x:c r="I15" s="245" t="n">
        <x:v>0</x:v>
      </x:c>
      <x:c r="J15" s="245" t="inlineStr">
        <x:is>
          <x:t xml:space="preserve">Yes</x:t>
        </x:is>
      </x:c>
      <x:c r="K15" s="245" t="inlineStr">
        <x:is>
          <x:t xml:space="preserve">Not started</x:t>
        </x:is>
      </x:c>
      <x:c r="L15" s="245" t="inlineStr">
        <x:is>
          <x:t xml:space="preserve"/>
        </x:is>
      </x:c>
      <x:c r="M15" s="245" t="inlineStr">
        <x:is>
          <x:t xml:space="preserve">2026-10-17</x:t>
        </x:is>
      </x:c>
    </x:row>
    <x:row r="16">
      <x:c r="A16" s="246" t="n">
        <x:v>46307</x:v>
      </x:c>
      <x:c r="B16" s="245" t="inlineStr">
        <x:is>
          <x:t xml:space="preserve">Mon</x:t>
        </x:is>
      </x:c>
      <x:c r="C16" s="245" t="inlineStr">
        <x:is>
          <x:t xml:space="preserve">Product acceptance</x:t>
        </x:is>
      </x:c>
      <x:c r="D16" s="245" t="inlineStr">
        <x:is>
          <x:t xml:space="preserve">Run and repair complete Novella and Short Story workflow, defaults, persistence, and export acceptance.</x:t>
        </x:is>
      </x:c>
      <x:c r="E16" s="245" t="inlineStr">
        <x:is>
          <x:t xml:space="preserve">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x:t>
        </x:is>
      </x:c>
      <x:c r="F16" s="245" t="inlineStr">
        <x:is>
          <x:t xml:space="preserve">Perform the two guided create → write → export journeys.</x:t>
        </x:is>
      </x:c>
      <x:c r="G16" s="245" t="inlineStr">
        <x:is>
          <x:t xml:space="preserve">10 min + 100 min</x:t>
        </x:is>
      </x:c>
      <x:c r="H16" s="245" t="inlineStr">
        <x:is>
          <x:t xml:space="preserve">—</x:t>
        </x:is>
      </x:c>
      <x:c r="I16" s="245" t="n">
        <x:v>0</x:v>
      </x:c>
      <x:c r="J16" s="245" t="inlineStr">
        <x:is>
          <x:t xml:space="preserve">Yes</x:t>
        </x:is>
      </x:c>
      <x:c r="K16" s="245" t="inlineStr">
        <x:is>
          <x:t xml:space="preserve">Not started</x:t>
        </x:is>
      </x:c>
      <x:c r="L16" s="245" t="inlineStr">
        <x:is>
          <x:t xml:space="preserve"/>
        </x:is>
      </x:c>
      <x:c r="M16" s="245" t="inlineStr">
        <x:is>
          <x:t xml:space="preserve">2026-10-19</x:t>
        </x:is>
      </x:c>
    </x:row>
    <x:row r="17">
      <x:c r="A17" s="246" t="n">
        <x:v>46308</x:v>
      </x:c>
      <x:c r="B17" s="245" t="inlineStr">
        <x:is>
          <x:t xml:space="preserve">Tue</x:t>
        </x:is>
      </x:c>
      <x:c r="C17" s="245" t="inlineStr">
        <x:is>
          <x:t xml:space="preserve">Product acceptance</x:t>
        </x:is>
      </x:c>
      <x:c r="D17" s="245" t="inlineStr">
        <x:is>
          <x:t xml:space="preserve">Run and repair complete D&amp;D and TTRPG prep/recap, Character Builder, map/default, AI-context, and export acceptance.</x:t>
        </x:is>
      </x:c>
      <x:c r="E17" s="245" t="inlineStr">
        <x:is>
          <x:t xml:space="preserve">1. D&amp;D/TTRPG project-type-aware AI behaviour (DM-side vs GM-side framing): prepare the guided checks; owner runs them with their own AI key on 19 Oct
2. Session prep/recap persistence, default-section visibility and export for both campaign types</x:t>
        </x:is>
      </x:c>
      <x:c r="F17" s="245" t="inlineStr">
        <x:is>
          <x:t xml:space="preserve">Perform the two guided campaign journeys using disposable campaigns.</x:t>
        </x:is>
      </x:c>
      <x:c r="G17" s="245" t="inlineStr">
        <x:is>
          <x:t xml:space="preserve">10 min + 100 min</x:t>
        </x:is>
      </x:c>
      <x:c r="H17" s="245" t="inlineStr">
        <x:is>
          <x:t xml:space="preserve">—</x:t>
        </x:is>
      </x:c>
      <x:c r="I17" s="245" t="n">
        <x:v>0</x:v>
      </x:c>
      <x:c r="J17" s="245" t="inlineStr">
        <x:is>
          <x:t xml:space="preserve">Yes</x:t>
        </x:is>
      </x:c>
      <x:c r="K17" s="245" t="inlineStr">
        <x:is>
          <x:t xml:space="preserve">Not started</x:t>
        </x:is>
      </x:c>
      <x:c r="L17" s="245" t="inlineStr">
        <x:is>
          <x:t xml:space="preserve"/>
        </x:is>
      </x:c>
      <x:c r="M17" s="245" t="inlineStr">
        <x:is>
          <x:t xml:space="preserve">2026-10-20</x:t>
        </x:is>
      </x:c>
    </x:row>
    <x:row r="18">
      <x:c r="A18" s="246" t="n">
        <x:v>46309</x:v>
      </x:c>
      <x:c r="B18" s="245" t="inlineStr">
        <x:is>
          <x:t xml:space="preserve">Wed</x:t>
        </x:is>
      </x:c>
      <x:c r="C18" s="245" t="inlineStr">
        <x:is>
          <x:t xml:space="preserve">Product acceptance</x:t>
        </x:is>
      </x:c>
      <x:c r="D18" s="245" t="inlineStr">
        <x:is>
          <x:t xml:space="preserve">Run and repair Novel and Comic live-cloud, large-project, and complete export acceptance.</x:t>
        </x:is>
      </x:c>
      <x:c r="E18" s="245" t="inlineStr">
        <x:is>
          <x:t xml:space="preserve">1. Local write path / media upload: live-account upload QA well beyond the old 5-10 MB localStorage cap
2. Novel finalised-draft reader and snapshots: multiple snapshots, previous/next, non-novel hiding
3. Comic/Graphic Novel live-Supabase and large-project pass (browser-level QA already passed)</x:t>
        </x:is>
      </x:c>
      <x:c r="F18" s="245" t="inlineStr">
        <x:is>
          <x:t xml:space="preserve">Perform the guided Novel and Comic journeys.</x:t>
        </x:is>
      </x:c>
      <x:c r="G18" s="245" t="inlineStr">
        <x:is>
          <x:t xml:space="preserve">10 min + 100 min</x:t>
        </x:is>
      </x:c>
      <x:c r="H18" s="245" t="inlineStr">
        <x:is>
          <x:t xml:space="preserve">—</x:t>
        </x:is>
      </x:c>
      <x:c r="I18" s="245" t="n">
        <x:v>0</x:v>
      </x:c>
      <x:c r="J18" s="245" t="inlineStr">
        <x:is>
          <x:t xml:space="preserve">Yes</x:t>
        </x:is>
      </x:c>
      <x:c r="K18" s="245" t="inlineStr">
        <x:is>
          <x:t xml:space="preserve">Not started</x:t>
        </x:is>
      </x:c>
      <x:c r="L18" s="245" t="inlineStr">
        <x:is>
          <x:t xml:space="preserve"/>
        </x:is>
      </x:c>
      <x:c r="M18" s="245" t="inlineStr">
        <x:is>
          <x:t xml:space="preserve">2026-10-21</x:t>
        </x:is>
      </x:c>
    </x:row>
    <x:row r="19">
      <x:c r="A19" s="246" t="n">
        <x:v>46310</x:v>
      </x:c>
      <x:c r="B19" s="245" t="inlineStr">
        <x:is>
          <x:t xml:space="preserve">Thu</x:t>
        </x:is>
      </x:c>
      <x:c r="C19" s="245" t="inlineStr">
        <x:is>
          <x:t xml:space="preserve">Product acceptance</x:t>
        </x:is>
      </x:c>
      <x:c r="D19" s="245" t="inlineStr">
        <x:is>
          <x:t xml:space="preserve">Run the full Map Builder owner checklist and repair interaction, layer, persistence, responsive, and export defects.</x:t>
        </x:is>
      </x:c>
      <x:c r="E19" s="245" t="inlineStr">
        <x:is>
          <x:t xml:space="preserve">1. Reliable map builder acceptance: persistence, grid overlay, JSON import/export, restore from ZIP, high-res PNG, undo/redo, all four map types</x:t>
        </x:is>
      </x:c>
      <x:c r="F19" s="245" t="inlineStr">
        <x:is>
          <x:t xml:space="preserve">Complete the guided map workflow and inspect its exports.</x:t>
        </x:is>
      </x:c>
      <x:c r="G19" s="245" t="inlineStr">
        <x:is>
          <x:t xml:space="preserve">10 min + 100 min</x:t>
        </x:is>
      </x:c>
      <x:c r="H19" s="245" t="inlineStr">
        <x:is>
          <x:t xml:space="preserve">—</x:t>
        </x:is>
      </x:c>
      <x:c r="I19" s="245" t="n">
        <x:v>0</x:v>
      </x:c>
      <x:c r="J19" s="245" t="inlineStr">
        <x:is>
          <x:t xml:space="preserve">Yes</x:t>
        </x:is>
      </x:c>
      <x:c r="K19" s="245" t="inlineStr">
        <x:is>
          <x:t xml:space="preserve">Not started</x:t>
        </x:is>
      </x:c>
      <x:c r="L19" s="245" t="inlineStr">
        <x:is>
          <x:t xml:space="preserve"/>
        </x:is>
      </x:c>
      <x:c r="M19" s="245" t="inlineStr">
        <x:is>
          <x:t xml:space="preserve">2026-10-22</x:t>
        </x:is>
      </x:c>
    </x:row>
    <x:row r="20">
      <x:c r="A20" s="246" t="n">
        <x:v>46311</x:v>
      </x:c>
      <x:c r="B20" s="245" t="inlineStr">
        <x:is>
          <x:t xml:space="preserve">Fri</x:t>
        </x:is>
      </x:c>
      <x:c r="C20" s="245" t="inlineStr">
        <x:is>
          <x:t xml:space="preserve">Product acceptance</x:t>
        </x:is>
      </x:c>
      <x:c r="D20" s="245" t="inlineStr">
        <x:is>
          <x:t xml:space="preserve">Consolidate remaining Characters, Locations, Lore, Timeline/History, Family/Factions, Series, Schedule, Focused Writing, and AI Import checks.</x:t>
        </x:is>
      </x:c>
      <x:c r="E20" s="245" t="inlineStr">
        <x:is>
          <x:t xml:space="preserve">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x:t>
        </x:is>
      </x:c>
      <x:c r="F20" s="245" t="inlineStr">
        <x:is>
          <x:t xml:space="preserve">Work through the short owner verification packet; flag only reproducible failures.</x:t>
        </x:is>
      </x:c>
      <x:c r="G20" s="245" t="inlineStr">
        <x:is>
          <x:t xml:space="preserve">10 min + 100 min</x:t>
        </x:is>
      </x:c>
      <x:c r="H20" s="245" t="inlineStr">
        <x:is>
          <x:t xml:space="preserve">—</x:t>
        </x:is>
      </x:c>
      <x:c r="I20" s="245" t="n">
        <x:v>0</x:v>
      </x:c>
      <x:c r="J20" s="245" t="inlineStr">
        <x:is>
          <x:t xml:space="preserve">Yes</x:t>
        </x:is>
      </x:c>
      <x:c r="K20" s="245" t="inlineStr">
        <x:is>
          <x:t xml:space="preserve">Not started</x:t>
        </x:is>
      </x:c>
      <x:c r="L20" s="245" t="inlineStr">
        <x:is>
          <x:t xml:space="preserve"/>
        </x:is>
      </x:c>
      <x:c r="M20" s="245" t="inlineStr">
        <x:is>
          <x:t xml:space="preserve">2026-10-23</x:t>
        </x:is>
      </x:c>
    </x:row>
    <x:row r="21">
      <x:c r="A21" s="246" t="n">
        <x:v>46312</x:v>
      </x:c>
      <x:c r="B21" s="245" t="inlineStr">
        <x:is>
          <x:t xml:space="preserve">Sat</x:t>
        </x:is>
      </x:c>
      <x:c r="C21" s="245" t="inlineStr">
        <x:is>
          <x:t xml:space="preserve">Desktop</x:t>
        </x:is>
      </x:c>
      <x:c r="D21" s="245" t="inlineStr">
        <x:is>
          <x:t xml:space="preserve">Produce the Windows candidate in CI and drive Windows clean-machine/WebView2/install/export/updater/uninstall acceptance; close the Desktop Gate.</x:t>
        </x:is>
      </x:c>
      <x:c r="E21" s="245" t="inlineStr">
        <x:is>
          <x:t xml:space="preserve">1. Windows: SmartScreen bypass steps, WebView2 install, Explorer reveal, updater, uninstall; close Desktop Gate and the desktop row of the Scope gate</x:t>
        </x:is>
      </x:c>
      <x:c r="F21" s="245" t="inlineStr">
        <x:is>
          <x:t xml:space="preserve">Complete or coordinate the Windows checklist, then review the combined desktop evidence.</x:t>
        </x:is>
      </x:c>
      <x:c r="G21" s="245" t="inlineStr">
        <x:is>
          <x:t xml:space="preserve">15 min + up to 3 h 45 min</x:t>
        </x:is>
      </x:c>
      <x:c r="H21" s="245" t="inlineStr">
        <x:is>
          <x:t xml:space="preserve">—</x:t>
        </x:is>
      </x:c>
      <x:c r="I21" s="245" t="n">
        <x:v>0</x:v>
      </x:c>
      <x:c r="J21" s="245" t="inlineStr">
        <x:is>
          <x:t xml:space="preserve">Yes</x:t>
        </x:is>
      </x:c>
      <x:c r="K21" s="245" t="inlineStr">
        <x:is>
          <x:t xml:space="preserve">Not started</x:t>
        </x:is>
      </x:c>
      <x:c r="L21" s="245" t="inlineStr">
        <x:is>
          <x:t xml:space="preserve"/>
        </x:is>
      </x:c>
      <x:c r="M21" s="245" t="inlineStr">
        <x:is>
          <x:t xml:space="preserve">2026-10-18</x:t>
        </x:is>
      </x:c>
    </x:row>
    <x:row r="22">
      <x:c r="A22" s="246" t="n">
        <x:v>46313</x:v>
      </x:c>
      <x:c r="B22" s="245" t="inlineStr">
        <x:is>
          <x:t xml:space="preserve">Sun</x:t>
        </x:is>
      </x:c>
      <x:c r="C22" s="245" t="inlineStr">
        <x:is>
          <x:t xml:space="preserve">Product acceptance</x:t>
        </x:is>
      </x:c>
      <x:c r="D22" s="245" t="inlineStr">
        <x:is>
          <x:t xml:space="preserve">Run realistic large-project performance plus 375/768/desktop, keyboard, focus, contrast, real-iPhone, and theme acceptance; fix blockers.</x:t>
        </x:is>
      </x:c>
      <x:c r="E22" s="245" t="inlineStr">
        <x:is>
          <x:t xml:space="preserve">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x:t>
        </x:is>
      </x:c>
      <x:c r="F22" s="245" t="inlineStr">
        <x:is>
          <x:t xml:space="preserve">Complete device/accessibility tests in two focused blocks. (includes O10: Firefox, Safari, VoiceOver.)</x:t>
        </x:is>
      </x:c>
      <x:c r="G22" s="245" t="inlineStr">
        <x:is>
          <x:t xml:space="preserve">15 min + up to 3 h 45 min</x:t>
        </x:is>
      </x:c>
      <x:c r="H22" s="245" t="inlineStr">
        <x:is>
          <x:t xml:space="preserve">—</x:t>
        </x:is>
      </x:c>
      <x:c r="I22" s="245" t="n">
        <x:v>0</x:v>
      </x:c>
      <x:c r="J22" s="245" t="inlineStr">
        <x:is>
          <x:t xml:space="preserve">Yes</x:t>
        </x:is>
      </x:c>
      <x:c r="K22" s="245" t="inlineStr">
        <x:is>
          <x:t xml:space="preserve">Not started</x:t>
        </x:is>
      </x:c>
      <x:c r="L22" s="245" t="inlineStr">
        <x:is>
          <x:t xml:space="preserve"/>
        </x:is>
      </x:c>
      <x:c r="M22" s="245" t="inlineStr">
        <x:is>
          <x:t xml:space="preserve">2026-10-24</x:t>
        </x:is>
      </x:c>
    </x:row>
    <x:row r="23">
      <x:c r="A23" s="246" t="n">
        <x:v>46314</x:v>
      </x:c>
      <x:c r="B23" s="245" t="inlineStr">
        <x:is>
          <x:t xml:space="preserve">Mon</x:t>
        </x:is>
      </x:c>
      <x:c r="C23" s="245" t="inlineStr">
        <x:is>
          <x:t xml:space="preserve">Product acceptance</x:t>
        </x:is>
      </x:c>
      <x:c r="D23" s="245" t="inlineStr">
        <x:is>
          <x:t xml:space="preserve">Test the two advertised AI providers, OpenRouter and OpenAI, with the owner's own keys: context grounding, errors/retry, secret isolation. Label all other providers 'not tested' in the app.</x:t>
        </x:is>
      </x:c>
      <x:c r="E23" s="245" t="inlineStr">
        <x:is>
          <x:t xml:space="preserve">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x:t>
        </x:is>
      </x:c>
      <x:c r="F23" s="245" t="inlineStr">
        <x:is>
          <x:t xml:space="preserve">Supply OpenRouter and OpenAI access without sharing secrets and run the guided provider checks (includes O07 and the D&amp;D/TTRPG AI framing checks).</x:t>
        </x:is>
      </x:c>
      <x:c r="G23" s="245" t="inlineStr">
        <x:is>
          <x:t xml:space="preserve">10 min + 100 min</x:t>
        </x:is>
      </x:c>
      <x:c r="H23" s="245" t="inlineStr">
        <x:is>
          <x:t xml:space="preserve">—</x:t>
        </x:is>
      </x:c>
      <x:c r="I23" s="245" t="n">
        <x:v>0</x:v>
      </x:c>
      <x:c r="J23" s="245" t="inlineStr">
        <x:is>
          <x:t xml:space="preserve">Yes</x:t>
        </x:is>
      </x:c>
      <x:c r="K23" s="245" t="inlineStr">
        <x:is>
          <x:t xml:space="preserve">Not started</x:t>
        </x:is>
      </x:c>
      <x:c r="L23" s="245" t="inlineStr">
        <x:is>
          <x:t xml:space="preserve"/>
        </x:is>
      </x:c>
      <x:c r="M23" s="245" t="inlineStr">
        <x:is>
          <x:t xml:space="preserve">2026-10-25</x:t>
        </x:is>
      </x:c>
    </x:row>
    <x:row r="24">
      <x:c r="A24" s="246" t="n">
        <x:v>46315</x:v>
      </x:c>
      <x:c r="B24" s="245" t="inlineStr">
        <x:is>
          <x:t xml:space="preserve">Tue</x:t>
        </x:is>
      </x:c>
      <x:c r="C24" s="245" t="inlineStr">
        <x:is>
          <x:t xml:space="preserve">Product acceptance</x:t>
        </x:is>
      </x:c>
      <x:c r="D24" s="245" t="inlineStr">
        <x:is>
          <x:t xml:space="preserve">Test AI chat persistence and export, then rerun all six project-type exports.</x:t>
        </x:is>
      </x:c>
      <x:c r="E24" s="245" t="inlineStr">
        <x:is>
          <x:t xml:space="preserve">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x:t>
        </x:is>
      </x:c>
      <x:c r="F24" s="245" t="inlineStr">
        <x:is>
          <x:t xml:space="preserve">Complete the Product Gate review.</x:t>
        </x:is>
      </x:c>
      <x:c r="G24" s="245" t="inlineStr">
        <x:is>
          <x:t xml:space="preserve">10 min + 100 min</x:t>
        </x:is>
      </x:c>
      <x:c r="H24" s="245" t="inlineStr">
        <x:is>
          <x:t xml:space="preserve">—</x:t>
        </x:is>
      </x:c>
      <x:c r="I24" s="245" t="n">
        <x:v>0</x:v>
      </x:c>
      <x:c r="J24" s="245" t="inlineStr">
        <x:is>
          <x:t xml:space="preserve">Yes</x:t>
        </x:is>
      </x:c>
      <x:c r="K24" s="245" t="inlineStr">
        <x:is>
          <x:t xml:space="preserve">Not started</x:t>
        </x:is>
      </x:c>
      <x:c r="L24" s="245" t="inlineStr">
        <x:is>
          <x:t xml:space="preserve"/>
        </x:is>
      </x:c>
      <x:c r="M24" s="245" t="inlineStr">
        <x:is>
          <x:t xml:space="preserve">2026-10-25</x:t>
        </x:is>
      </x:c>
    </x:row>
    <x:row r="25">
      <x:c r="A25" s="246" t="n">
        <x:v>46316</x:v>
      </x:c>
      <x:c r="B25" s="245" t="inlineStr">
        <x:is>
          <x:t xml:space="preserve">Wed</x:t>
        </x:is>
      </x:c>
      <x:c r="C25" s="245" t="inlineStr">
        <x:is>
          <x:t xml:space="preserve">Payments &amp; release</x:t>
        </x:is>
      </x:c>
      <x:c r="D25" s="245" t="inlineStr">
        <x:is>
          <x:t xml:space="preserve">Reconcile Pricing, FAQ, Terms, Privacy, cancellation, storage, Local Mode, expiry, Founder, AI, export, SEO, and marketing promises.</x:t>
        </x:is>
      </x:c>
      <x:c r="E25" s="245" t="inlineStr">
        <x:is>
          <x:t xml:space="preserve">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x:t>
        </x:is>
      </x:c>
      <x:c r="F25" s="245" t="inlineStr">
        <x:is>
          <x:t xml:space="preserve">Read the plain-English change packet and approve or correct the final customer promises.</x:t>
        </x:is>
      </x:c>
      <x:c r="G25" s="245" t="inlineStr">
        <x:is>
          <x:t xml:space="preserve">10 min + 100 min</x:t>
        </x:is>
      </x:c>
      <x:c r="H25" s="245" t="inlineStr">
        <x:is>
          <x:t xml:space="preserve">—</x:t>
        </x:is>
      </x:c>
      <x:c r="I25" s="245" t="n">
        <x:v>0</x:v>
      </x:c>
      <x:c r="J25" s="245" t="inlineStr">
        <x:is>
          <x:t xml:space="preserve">Yes</x:t>
        </x:is>
      </x:c>
      <x:c r="K25" s="245" t="str">
        <x:v>In progress</x:v>
      </x:c>
      <x:c r="L25" s="245" t="str">
        <x:v>Partial evidence 5 Oct 2026: Pricing, FAQ, Account Settings and Download copy now agree on Free GBP 0, Monthly GBP 10 browser + Cloud only, Founding Lifetime GBP 50 for purchases 1-100 with two Cloud years, Standard Lifetime GBP 75 with one Cloud year, and optional Cloud at GBP 6/year. Broader Terms, Privacy, SEO, AI-provider and marketing-copy reconciliation remains.</x:v>
      </x:c>
      <x:c r="M25" s="245" t="inlineStr">
        <x:is>
          <x:t xml:space="preserve">2026-10-26</x:t>
        </x:is>
      </x:c>
    </x:row>
    <x:row r="26">
      <x:c r="A26" s="246" t="n">
        <x:v>46317</x:v>
      </x:c>
      <x:c r="B26" s="245" t="inlineStr">
        <x:is>
          <x:t xml:space="preserve">Thu</x:t>
        </x:is>
      </x:c>
      <x:c r="C26" s="245" t="inlineStr">
        <x:is>
          <x:t xml:space="preserve">Payments &amp; release</x:t>
        </x:is>
      </x:c>
      <x:c r="D26" s="245" t="inlineStr">
        <x:is>
          <x:t xml:space="preserve">Audit Stripe configuration, webhook idempotency, entitlement fulfilment, refunds/disputes, Founder allocation, and the test-mode runbook.</x:t>
        </x:is>
      </x:c>
      <x:c r="E26" s="245" t="str">
        <x:v>1. Durable Stripe event ledger: replay every supported event at least 3 times; entitlements, dates, Founder counts and emails change exactly once
2. Price/entitlement matrix (GBP 10 / 50 / 75 / 6) matches Stripe test Price objects and Checkout line items; Founding Lifetime is limited to successful purchases 1-100 and there is no separate Founder product
3. Remove/migrate the temporary paid-interest 'coming soon' flow and its automatic Beta entitlement; real checkout CTAs behind a launch switch
4. Founding Lifetime concurrency: simultaneous checkout holds and successful payments never award more than 100 Founder positions; purchase 101 uses Standard Lifetime automatically
5. Prepare the exact Vercel test-mode secrets swap and return-to-live checklist (names only, never values)</x:v>
      </x:c>
      <x:c r="F26" s="245" t="inlineStr">
        <x:is>
          <x:t xml:space="preserve">Open Stripe/Supabase only when guided and confirm the displayed test configuration.</x:t>
        </x:is>
      </x:c>
      <x:c r="G26" s="245" t="inlineStr">
        <x:is>
          <x:t xml:space="preserve">10 min + 90 min</x:t>
        </x:is>
      </x:c>
      <x:c r="H26" s="245" t="inlineStr">
        <x:is>
          <x:t xml:space="preserve">—</x:t>
        </x:is>
      </x:c>
      <x:c r="I26" s="245" t="n">
        <x:v>0</x:v>
      </x:c>
      <x:c r="J26" s="245" t="inlineStr">
        <x:is>
          <x:t xml:space="preserve">Yes</x:t>
        </x:is>
      </x:c>
      <x:c r="K26" s="245" t="str">
        <x:v>In progress</x:v>
      </x:c>
      <x:c r="L26" s="245" t="str">
        <x:v>In progress 5 Oct 2026. Owner configured Stripe test products/prices, test environment variables and the deployed test webhook. The private direct-link billing page is live. Server-side Price validation and the transaction-locked Founder reservation/finalisation design are implemented and automated tests pass. Still open: live-mode final-position concurrency rehearsal, three-times event replay, refund/dispute handling, and final return-to-live review.</x:v>
      </x:c>
      <x:c r="M26" s="245" t="inlineStr">
        <x:is>
          <x:t xml:space="preserve">2026-10-27</x:t>
        </x:is>
      </x:c>
    </x:row>
    <x:row r="27">
      <x:c r="A27" s="246" t="n">
        <x:v>46318</x:v>
      </x:c>
      <x:c r="B27" s="245" t="inlineStr">
        <x:is>
          <x:t xml:space="preserve">Fri</x:t>
        </x:is>
      </x:c>
      <x:c r="C27" s="245" t="inlineStr">
        <x:is>
          <x:t xml:space="preserve">Payments &amp; release</x:t>
        </x:is>
      </x:c>
      <x:c r="D27" s="245" t="str">
        <x:v>Drive the remaining Stripe test-mode journey one step at a time: Monthly, Founding Lifetime, Standard Lifetime, renewal, cancellation/failure, replay, refund, and dispute.</x:v>
      </x:c>
      <x:c r="E27" s="245" t="str">
        <x:v>1. Completed so far: GBP 10 Monthly, GBP 50 Founding Lifetime, GBP 75 Standard Lifetime, scheduled Monthly cancellation display, and Monthly desktop/download/device rejection
2. Still to test: GBP 6 hosting renewal, checkout cancellation/expiration, failed and async payments, out-of-order webhooks, replay, refund and dispute
3. Live-account QA of the 'Downgrade to Free' fix for manually upgraded accounts and confirmation that the real Stripe portal remains unaffected</x:v>
      </x:c>
      <x:c r="F27" s="245" t="inlineStr">
        <x:is>
          <x:t xml:space="preserve">Complete guided test payments and verify app access after each event.</x:t>
        </x:is>
      </x:c>
      <x:c r="G27" s="245" t="inlineStr">
        <x:is>
          <x:t xml:space="preserve">10 min + 110 min</x:t>
        </x:is>
      </x:c>
      <x:c r="H27" s="245" t="inlineStr">
        <x:is>
          <x:t xml:space="preserve">—</x:t>
        </x:is>
      </x:c>
      <x:c r="I27" s="245" t="n">
        <x:v>0</x:v>
      </x:c>
      <x:c r="J27" s="245" t="inlineStr">
        <x:is>
          <x:t xml:space="preserve">Yes</x:t>
        </x:is>
      </x:c>
      <x:c r="K27" s="245" t="str">
        <x:v>In progress</x:v>
      </x:c>
      <x:c r="L27" s="245" t="str">
        <x:v>Passed so far, owner-confirmed 5 Oct 2026: test-mode Monthly GBP 10 checkout and browser/Cloud entitlement; Founding Lifetime GBP 50 checkout; Standard Lifetime GBP 75 checkout; Monthly cancellation now reconciles directly with Stripe and shows the cancellation/end date; Monthly has no desktop entitlement. Supporting automated verification: 162 test files / 1,563 tests, zero lint errors, production build, 231-file load check and all 12 API imports. The remaining items in column E keep this row open.</x:v>
      </x:c>
      <x:c r="M27" s="245" t="inlineStr">
        <x:is>
          <x:t xml:space="preserve">2026-10-28</x:t>
        </x:is>
      </x:c>
    </x:row>
    <x:row r="28">
      <x:c r="A28" s="246" t="n">
        <x:v>46319</x:v>
      </x:c>
      <x:c r="B28" s="245" t="inlineStr">
        <x:is>
          <x:t xml:space="preserve">Sat</x:t>
        </x:is>
      </x:c>
      <x:c r="C28" s="245" t="inlineStr">
        <x:is>
          <x:t xml:space="preserve">Payments &amp; release</x:t>
        </x:is>
      </x:c>
      <x:c r="D28" s="245" t="inlineStr">
        <x:is>
          <x:t xml:space="preserve">Prepare the reversible Beta-closure/migration operation, final website copy, screenshots, launch post, ads, support replies, and analytics checks without publishing.</x:t>
        </x:is>
      </x:c>
      <x:c r="E28" s="245" t="inlineStr">
        <x:is>
          <x:t xml:space="preserve">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x:t>
        </x:is>
      </x:c>
      <x:c r="F28" s="245" t="inlineStr">
        <x:is>
          <x:t xml:space="preserve">Approve the prepared launch assets and Beta transition wording; publish nothing.</x:t>
        </x:is>
      </x:c>
      <x:c r="G28" s="245" t="inlineStr">
        <x:is>
          <x:t xml:space="preserve">15 min + up to 3 h 45 min</x:t>
        </x:is>
      </x:c>
      <x:c r="H28" s="245" t="inlineStr">
        <x:is>
          <x:t xml:space="preserve">O11</x:t>
        </x:is>
      </x:c>
      <x:c r="I28" s="245" t="n">
        <x:v>125</x:v>
      </x:c>
      <x:c r="J28" s="245" t="inlineStr">
        <x:is>
          <x:t xml:space="preserve">Yes</x:t>
        </x:is>
      </x:c>
      <x:c r="K28" s="245" t="inlineStr">
        <x:is>
          <x:t xml:space="preserve">Not started</x:t>
        </x:is>
      </x:c>
      <x:c r="L28" s="245" t="inlineStr">
        <x:is>
          <x:t xml:space="preserve"/>
        </x:is>
      </x:c>
      <x:c r="M28" s="245" t="inlineStr">
        <x:is>
          <x:t xml:space="preserve">2026-10-29</x:t>
        </x:is>
      </x:c>
    </x:row>
    <x:row r="29">
      <x:c r="A29" s="246" t="n">
        <x:v>46320</x:v>
      </x:c>
      <x:c r="B29" s="245" t="inlineStr">
        <x:is>
          <x:t xml:space="preserve">Sun</x:t>
        </x:is>
      </x:c>
      <x:c r="C29" s="245" t="inlineStr">
        <x:is>
          <x:t xml:space="preserve">Buffer</x:t>
        </x:is>
      </x:c>
      <x:c r="D29" s="245" t="inlineStr">
        <x:is>
          <x:t xml:space="preserve">Buffer and catch-up: repair anything still red from 1-24 Oct, rerun the affected gate checks, update every Launch Readiness Gate row with evidence.</x:t>
        </x:is>
      </x:c>
      <x:c r="E29" s="245" t="inlineStr">
        <x:is>
          <x:t xml:space="preserve">—</x:t>
        </x:is>
      </x:c>
      <x:c r="F29" s="245" t="inlineStr">
        <x:is>
          <x:t xml:space="preserve">Do your remaining overflow items (O12, O13); free otherwise. Decision D6 (latest acceptable launch slip) is due today.</x:t>
        </x:is>
      </x:c>
      <x:c r="G29" s="245" t="inlineStr">
        <x:is>
          <x:t xml:space="preserve">15 min + up to 3 h 45 min</x:t>
        </x:is>
      </x:c>
      <x:c r="H29" s="245" t="inlineStr">
        <x:is>
          <x:t xml:space="preserve">O12, O13</x:t>
        </x:is>
      </x:c>
      <x:c r="I29" s="245" t="n">
        <x:v>185</x:v>
      </x:c>
      <x:c r="J29" s="245" t="inlineStr">
        <x:is>
          <x:t xml:space="preserve">Yes</x:t>
        </x:is>
      </x:c>
      <x:c r="K29" s="245" t="inlineStr">
        <x:is>
          <x:t xml:space="preserve">Not started</x:t>
        </x:is>
      </x:c>
      <x:c r="L29" s="245" t="inlineStr">
        <x:is>
          <x:t xml:space="preserve"/>
        </x:is>
      </x:c>
      <x:c r="M29" s="245" t="inlineStr">
        <x:is>
          <x:t xml:space="preserve">new buffer day</x:t>
        </x:is>
      </x:c>
    </x:row>
    <x:row r="30">
      <x:c r="A30" s="246" t="n">
        <x:v>46321</x:v>
      </x:c>
      <x:c r="B30" s="245" t="inlineStr">
        <x:is>
          <x:t xml:space="preserve">Mon</x:t>
        </x:is>
      </x:c>
      <x:c r="C30" s="245" t="inlineStr">
        <x:is>
          <x:t xml:space="preserve">Buffer</x:t>
        </x:is>
      </x:c>
      <x:c r="D30" s="245" t="inlineStr">
        <x:is>
          <x:t xml:space="preserve">Buffer: repair red items; rerun the full automated gate (npm run qa, Playwright, Rust/desktop checks) to surface blockers early.</x:t>
        </x:is>
      </x:c>
      <x:c r="E30" s="245" t="inlineStr">
        <x:is>
          <x:t xml:space="preserve">—</x:t>
        </x:is>
      </x:c>
      <x:c r="F30" s="245" t="inlineStr">
        <x:is>
          <x:t xml:space="preserve">Only the verification steps the AI asks for; otherwise free.</x:t>
        </x:is>
      </x:c>
      <x:c r="G30" s="245" t="inlineStr">
        <x:is>
          <x:t xml:space="preserve">10 min + 110 min</x:t>
        </x:is>
      </x:c>
      <x:c r="H30" s="245" t="inlineStr">
        <x:is>
          <x:t xml:space="preserve">—</x:t>
        </x:is>
      </x:c>
      <x:c r="I30" s="245" t="n">
        <x:v>110</x:v>
      </x:c>
      <x:c r="J30" s="245" t="inlineStr">
        <x:is>
          <x:t xml:space="preserve">Yes</x:t>
        </x:is>
      </x:c>
      <x:c r="K30" s="245" t="inlineStr">
        <x:is>
          <x:t xml:space="preserve">Not started</x:t>
        </x:is>
      </x:c>
      <x:c r="L30" s="245" t="inlineStr">
        <x:is>
          <x:t xml:space="preserve"/>
        </x:is>
      </x:c>
      <x:c r="M30" s="245" t="inlineStr">
        <x:is>
          <x:t xml:space="preserve">new buffer day</x:t>
        </x:is>
      </x:c>
    </x:row>
    <x:row r="31">
      <x:c r="A31" s="246" t="n">
        <x:v>46322</x:v>
      </x:c>
      <x:c r="B31" s="245" t="inlineStr">
        <x:is>
          <x:t xml:space="preserve">Tue</x:t>
        </x:is>
      </x:c>
      <x:c r="C31" s="245" t="inlineStr">
        <x:is>
          <x:t xml:space="preserve">Buffer</x:t>
        </x:is>
      </x:c>
      <x:c r="D31" s="245" t="inlineStr">
        <x:is>
          <x:t xml:space="preserve">Buffer: repair red items; rerun security review (auth, RLS, webhook, secrets) on everything changed since 1 Oct.</x:t>
        </x:is>
      </x:c>
      <x:c r="E31" s="245" t="inlineStr">
        <x:is>
          <x:t xml:space="preserve">—</x:t>
        </x:is>
      </x:c>
      <x:c r="F31" s="245" t="inlineStr">
        <x:is>
          <x:t xml:space="preserve">Only the verification steps the AI asks for; otherwise free.</x:t>
        </x:is>
      </x:c>
      <x:c r="G31" s="245" t="inlineStr">
        <x:is>
          <x:t xml:space="preserve">10 min + 110 min</x:t>
        </x:is>
      </x:c>
      <x:c r="H31" s="245" t="inlineStr">
        <x:is>
          <x:t xml:space="preserve">—</x:t>
        </x:is>
      </x:c>
      <x:c r="I31" s="245" t="n">
        <x:v>110</x:v>
      </x:c>
      <x:c r="J31" s="245" t="inlineStr">
        <x:is>
          <x:t xml:space="preserve">Yes</x:t>
        </x:is>
      </x:c>
      <x:c r="K31" s="245" t="inlineStr">
        <x:is>
          <x:t xml:space="preserve">Not started</x:t>
        </x:is>
      </x:c>
      <x:c r="L31" s="245" t="inlineStr">
        <x:is>
          <x:t xml:space="preserve"/>
        </x:is>
      </x:c>
      <x:c r="M31" s="245" t="inlineStr">
        <x:is>
          <x:t xml:space="preserve">new buffer day</x:t>
        </x:is>
      </x:c>
    </x:row>
    <x:row r="32">
      <x:c r="A32" s="246" t="n">
        <x:v>46323</x:v>
      </x:c>
      <x:c r="B32" s="245" t="inlineStr">
        <x:is>
          <x:t xml:space="preserve">Wed</x:t>
        </x:is>
      </x:c>
      <x:c r="C32" s="245" t="inlineStr">
        <x:is>
          <x:t xml:space="preserve">Buffer</x:t>
        </x:is>
      </x:c>
      <x:c r="D32" s="245" t="inlineStr">
        <x:is>
          <x:t xml:space="preserve">Buffer: rerun the complete data-safety/auth/export matrix against the latest build; fix failures in priority order.</x:t>
        </x:is>
      </x:c>
      <x:c r="E32" s="245" t="inlineStr">
        <x:is>
          <x:t xml:space="preserve">—</x:t>
        </x:is>
      </x:c>
      <x:c r="F32" s="245" t="inlineStr">
        <x:is>
          <x:t xml:space="preserve">Only the verification steps the AI asks for; otherwise free.</x:t>
        </x:is>
      </x:c>
      <x:c r="G32" s="245" t="inlineStr">
        <x:is>
          <x:t xml:space="preserve">10 min + 110 min</x:t>
        </x:is>
      </x:c>
      <x:c r="H32" s="245" t="inlineStr">
        <x:is>
          <x:t xml:space="preserve">—</x:t>
        </x:is>
      </x:c>
      <x:c r="I32" s="245" t="n">
        <x:v>110</x:v>
      </x:c>
      <x:c r="J32" s="245" t="inlineStr">
        <x:is>
          <x:t xml:space="preserve">Yes</x:t>
        </x:is>
      </x:c>
      <x:c r="K32" s="245" t="inlineStr">
        <x:is>
          <x:t xml:space="preserve">Not started</x:t>
        </x:is>
      </x:c>
      <x:c r="L32" s="245" t="inlineStr">
        <x:is>
          <x:t xml:space="preserve"/>
        </x:is>
      </x:c>
      <x:c r="M32" s="245" t="inlineStr">
        <x:is>
          <x:t xml:space="preserve">new buffer day</x:t>
        </x:is>
      </x:c>
    </x:row>
    <x:row r="33">
      <x:c r="A33" s="246" t="n">
        <x:v>46324</x:v>
      </x:c>
      <x:c r="B33" s="245" t="inlineStr">
        <x:is>
          <x:t xml:space="preserve">Thu</x:t>
        </x:is>
      </x:c>
      <x:c r="C33" s="245" t="inlineStr">
        <x:is>
          <x:t xml:space="preserve">Buffer</x:t>
        </x:is>
      </x:c>
      <x:c r="D33" s="245" t="inlineStr">
        <x:is>
          <x:t xml:space="preserve">Pre-freeze: review every gate. If all are green, draft the go/no-go packet; if not, list the exact blockers and a repair plan for 30 Oct.</x:t>
        </x:is>
      </x:c>
      <x:c r="E33" s="245" t="inlineStr">
        <x:is>
          <x:t xml:space="preserve">—</x:t>
        </x:is>
      </x:c>
      <x:c r="F33" s="245" t="inlineStr">
        <x:is>
          <x:t xml:space="preserve">Read the gate summary and confirm you are ready to freeze on 30 Oct.</x:t>
        </x:is>
      </x:c>
      <x:c r="G33" s="245" t="inlineStr">
        <x:is>
          <x:t xml:space="preserve">10 min + 110 min</x:t>
        </x:is>
      </x:c>
      <x:c r="H33" s="245" t="inlineStr">
        <x:is>
          <x:t xml:space="preserve">—</x:t>
        </x:is>
      </x:c>
      <x:c r="I33" s="245" t="n">
        <x:v>110</x:v>
      </x:c>
      <x:c r="J33" s="245" t="inlineStr">
        <x:is>
          <x:t xml:space="preserve">Yes</x:t>
        </x:is>
      </x:c>
      <x:c r="K33" s="245" t="inlineStr">
        <x:is>
          <x:t xml:space="preserve">Not started</x:t>
        </x:is>
      </x:c>
      <x:c r="L33" s="245" t="inlineStr">
        <x:is>
          <x:t xml:space="preserve"/>
        </x:is>
      </x:c>
      <x:c r="M33" s="245" t="inlineStr">
        <x:is>
          <x:t xml:space="preserve">new buffer day</x:t>
        </x:is>
      </x:c>
    </x:row>
    <x:row r="34">
      <x:c r="A34" s="246" t="n">
        <x:v>46325</x:v>
      </x:c>
      <x:c r="B34" s="245" t="inlineStr">
        <x:is>
          <x:t xml:space="preserve">Fri</x:t>
        </x:is>
      </x:c>
      <x:c r="C34" s="245" t="inlineStr">
        <x:is>
          <x:t xml:space="preserve">Payments &amp; release</x:t>
        </x:is>
      </x:c>
      <x:c r="D34" s="245" t="inlineStr">
        <x:is>
          <x:t xml:space="preserve">Freeze Release Candidate 1; run full automated/browser/Rust/build/security/marketing checks and produce the final go/no-go packet.</x:t>
        </x:is>
      </x:c>
      <x:c r="E34" s="245" t="inlineStr">
        <x:is>
          <x:t xml:space="preserve">1. Final Launch Readiness Gate table update: every gate Passed with evidence or an explicit re-decision; production-deploy checks queued for 1 Nov</x:t>
        </x:is>
      </x:c>
      <x:c r="F34" s="245" t="inlineStr">
        <x:is>
          <x:t xml:space="preserve">Perform one 60-minute customer smoke test and make the formal go/no-go decision.</x:t>
        </x:is>
      </x:c>
      <x:c r="G34" s="245" t="inlineStr">
        <x:is>
          <x:t xml:space="preserve">10 min + 105 min</x:t>
        </x:is>
      </x:c>
      <x:c r="H34" s="245" t="inlineStr">
        <x:is>
          <x:t xml:space="preserve">—</x:t>
        </x:is>
      </x:c>
      <x:c r="I34" s="245" t="n">
        <x:v>0</x:v>
      </x:c>
      <x:c r="J34" s="245" t="inlineStr">
        <x:is>
          <x:t xml:space="preserve">Yes</x:t>
        </x:is>
      </x:c>
      <x:c r="K34" s="245" t="inlineStr">
        <x:is>
          <x:t xml:space="preserve">Not started</x:t>
        </x:is>
      </x:c>
      <x:c r="L34" s="245" t="inlineStr">
        <x:is>
          <x:t xml:space="preserve"/>
        </x:is>
      </x:c>
      <x:c r="M34" s="245" t="inlineStr">
        <x:is>
          <x:t xml:space="preserve">2026-10-30</x:t>
        </x:is>
      </x:c>
    </x:row>
    <x:row r="35">
      <x:c r="A35" s="246" t="n">
        <x:v>46326</x:v>
      </x:c>
      <x:c r="B35" s="245" t="inlineStr">
        <x:is>
          <x:t xml:space="preserve">Sat</x:t>
        </x:is>
      </x:c>
      <x:c r="C35" s="245" t="inlineStr">
        <x:is>
          <x:t xml:space="preserve">Payments &amp; release</x:t>
        </x:is>
      </x:c>
      <x:c r="D35" s="245" t="inlineStr">
        <x:is>
          <x:t xml:space="preserve">Repair only launch blockers, rerun the full gate, take backups, verify rollback/checkout-disable/support procedures, and rehearse the exact production release.</x:t>
        </x:is>
      </x:c>
      <x:c r="E35" s="245" t="inlineStr">
        <x:is>
          <x:t xml:space="preserve">1. Supabase and project backups taken and restore-tested; checkout-disable switch and rollback tested on the rehearsal</x:t>
        </x:is>
      </x:c>
      <x:c r="F35" s="245" t="inlineStr">
        <x:is>
          <x:t xml:space="preserve">Complete the full launch rehearsal in two blocks; checkout remains off.</x:t>
        </x:is>
      </x:c>
      <x:c r="G35" s="245" t="inlineStr">
        <x:is>
          <x:t xml:space="preserve">15 min + up to 3 h 45 min</x:t>
        </x:is>
      </x:c>
      <x:c r="H35" s="245" t="inlineStr">
        <x:is>
          <x:t xml:space="preserve">—</x:t>
        </x:is>
      </x:c>
      <x:c r="I35" s="245" t="n">
        <x:v>0</x:v>
      </x:c>
      <x:c r="J35" s="245" t="inlineStr">
        <x:is>
          <x:t xml:space="preserve">Yes</x:t>
        </x:is>
      </x:c>
      <x:c r="K35" s="245" t="inlineStr">
        <x:is>
          <x:t xml:space="preserve">Not started</x:t>
        </x:is>
      </x:c>
      <x:c r="L35" s="245" t="inlineStr">
        <x:is>
          <x:t xml:space="preserve"/>
        </x:is>
      </x:c>
      <x:c r="M35" s="245" t="inlineStr">
        <x:is>
          <x:t xml:space="preserve">2026-10-31</x:t>
        </x:is>
      </x:c>
    </x:row>
    <x:row r="36">
      <x:c r="A36" s="246" t="n">
        <x:v>46327</x:v>
      </x:c>
      <x:c r="B36" s="245" t="inlineStr">
        <x:is>
          <x:t xml:space="preserve">Sun</x:t>
        </x:is>
      </x:c>
      <x:c r="C36" s="245" t="inlineStr">
        <x:is>
          <x:t xml:space="preserve">Quiet release</x:t>
        </x:is>
      </x:c>
      <x:c r="D36" s="245" t="inlineStr">
        <x:is>
          <x:t xml:space="preserve">If every hard gate is green: take final backups, deploy the approved release, close public Beta enrollment, preserve existing testers, enable checkout quietly, and monitor.</x:t>
        </x:is>
      </x:c>
      <x:c r="E36" s="245" t="inlineStr">
        <x:is>
          <x:t xml:space="preserve">1. Post-deploy production checks: security headers, canonical redirect, Founder slot display, checkout, entitlement, save/export</x:t>
        </x:is>
      </x:c>
      <x:c r="F36" s="245" t="inlineStr">
        <x:is>
          <x:t xml:space="preserve">Complete one real purchase, verify entitlement/save/export/refund-support paths, and keep rollback ready. No advertising today.</x:t>
        </x:is>
      </x:c>
      <x:c r="G36" s="245" t="inlineStr">
        <x:is>
          <x:t xml:space="preserve">15 min + up to 3 h 45 min</x:t>
        </x:is>
      </x:c>
      <x:c r="H36" s="245" t="inlineStr">
        <x:is>
          <x:t xml:space="preserve">O15</x:t>
        </x:is>
      </x:c>
      <x:c r="I36" s="245" t="n">
        <x:v>0</x:v>
      </x:c>
      <x:c r="J36" s="245" t="inlineStr">
        <x:is>
          <x:t xml:space="preserve">Yes</x:t>
        </x:is>
      </x:c>
      <x:c r="K36" s="245" t="inlineStr">
        <x:is>
          <x:t xml:space="preserve">Not started</x:t>
        </x:is>
      </x:c>
      <x:c r="L36" s="245" t="inlineStr">
        <x:is>
          <x:t xml:space="preserve"/>
        </x:is>
      </x:c>
      <x:c r="M36" s="245" t="inlineStr">
        <x:is>
          <x:t xml:space="preserve">2026-11-01</x:t>
        </x:is>
      </x:c>
    </x:row>
    <x:row r="37">
      <x:c r="A37" s="246" t="n">
        <x:v>46328</x:v>
      </x:c>
      <x:c r="B37" s="245" t="inlineStr">
        <x:is>
          <x:t xml:space="preserve">Mon</x:t>
        </x:is>
      </x:c>
      <x:c r="C37" s="245" t="inlineStr">
        <x:is>
          <x:t xml:space="preserve">Public launch</x:t>
        </x:is>
      </x:c>
      <x:c r="D37" s="245" t="inlineStr">
        <x:is>
          <x:t xml:space="preserve">Recheck overnight errors, payments, entitlements, email, analytics, and support; fix only launch blockers, then publish approved marketing.</x:t>
        </x:is>
      </x:c>
      <x:c r="E37" s="245" t="inlineStr">
        <x:is>
          <x:t xml:space="preserve">1. Search Console/analytics/support monitoring active; approved marketing prepared for the owner to publish</x:t>
        </x:is>
      </x:c>
      <x:c r="F37" s="245" t="inlineStr">
        <x:is>
          <x:t xml:space="preserve">Review the morning evidence, approve the public announcement/ads, and monitor the first responses that evening.</x:t>
        </x:is>
      </x:c>
      <x:c r="G37" s="245" t="inlineStr">
        <x:is>
          <x:t xml:space="preserve">10 min + 100 min</x:t>
        </x:is>
      </x:c>
      <x:c r="H37" s="245" t="inlineStr">
        <x:is>
          <x:t xml:space="preserve">—</x:t>
        </x:is>
      </x:c>
      <x:c r="I37" s="245" t="n">
        <x:v>0</x:v>
      </x:c>
      <x:c r="J37" s="245" t="inlineStr">
        <x:is>
          <x:t xml:space="preserve">Yes</x:t>
        </x:is>
      </x:c>
      <x:c r="K37" s="245" t="inlineStr">
        <x:is>
          <x:t xml:space="preserve">Not started</x:t>
        </x:is>
      </x:c>
      <x:c r="L37" s="245" t="inlineStr">
        <x:is>
          <x:t xml:space="preserve"/>
        </x:is>
      </x:c>
      <x:c r="M37" s="245" t="inlineStr">
        <x:is>
          <x:t xml:space="preserve">2026-11-02</x:t>
        </x:is>
      </x:c>
    </x:row>
  </x:sheetData>
  <x:dataValidations count="1">
    <x:dataValidation type="list" allowBlank="1" showDropDown="0" showInputMessage="0" showErrorMessage="0" sqref="K5:K37">
      <x:formula1>"Not started,In progress,Done,Blocked"</x:formula1>
    </x:dataValidation>
  </x:dataValidations>
  <x:pageMargins left="0.7" right="0.7" top="0.75" bottom="0.75" header="0.3" footer="0.3"/>
</x:worksheet>
</file>

<file path=xl/worksheets/sheet4.xml><?xml version="1.0" encoding="utf-8"?>
<x:worksheet xmlns:x="http://schemas.openxmlformats.org/spreadsheetml/2006/main">
  <x:sheetPr>
    <x:tabColor rgb="FF2B7A78"/>
  </x:sheetPr>
  <x:sheetViews>
    <x:sheetView showGridLines="0" workbookViewId="0">
      <x:pane xSplit="3" ySplit="10" topLeftCell="D11" activePane="bottomRight" state="frozen"/>
    </x:sheetView>
  </x:sheetViews>
  <x:sheetFormatPr baseColWidth="8" defaultRowHeight="15"/>
  <x:cols>
    <x:col min="1" max="1" width="14" customWidth="1"/>
    <x:col min="2" max="2" width="12" customWidth="1"/>
    <x:col min="3" max="3" width="22" customWidth="1"/>
    <x:col min="4" max="4" width="82" customWidth="1"/>
    <x:col min="5" max="5" width="72" customWidth="1"/>
    <x:col min="6" max="6" width="21" customWidth="1"/>
    <x:col min="7" max="7" width="44" customWidth="1"/>
    <x:col min="8" max="8" width="12" customWidth="1"/>
    <x:col min="9" max="9" width="15" customWidth="1"/>
    <x:col min="10" max="10" width="34" customWidth="1"/>
  </x:cols>
  <x:sheetData>
    <x:row r="2">
      <x:c r="A2" s="1" t="inlineStr">
        <x:is>
          <x:t xml:space="preserve">YOW daily guide — 28 September to 2 November 2026</x:t>
        </x:is>
      </x:c>
    </x:row>
    <x:row r="3">
      <x:c r="A3" s="2" t="inlineStr">
        <x:is>
          <x:t xml:space="preserve">Morning: paste one prompt. Evening/weekend: do only your guided action. Never exceed the time cap.</x:t>
        </x:is>
      </x:c>
    </x:row>
    <x:row r="5">
      <x:c r="A5" s="41" t="inlineStr">
        <x:is>
          <x:t xml:space="preserve">Tasks</x:t>
        </x:is>
      </x:c>
      <x:c r="B5" s="42" t="n">
        <x:f>COUNTA(A11:A46)</x:f>
        <x:v>36</x:v>
      </x:c>
      <x:c r="D5" s="36" t="inlineStr">
        <x:is>
          <x:t xml:space="preserve">The only rule that matters</x:t>
        </x:is>
      </x:c>
    </x:row>
    <x:row r="6">
      <x:c r="A6" s="43" t="inlineStr">
        <x:is>
          <x:t xml:space="preserve">Done</x:t>
        </x:is>
      </x:c>
      <x:c r="B6" s="44" t="n">
        <x:f>COUNTIF(I11:I46,"Done")</x:f>
        <x:v>8</x:v>
      </x:c>
      <x:c r="D6" s="248" t="inlineStr">
        <x:is>
          <x:t xml:space="preserve">AI owns the technical work. You own guided verification and decisions. Stop at the time cap. A task may remain In progress; a hard gate may not be waved through.</x:t>
        </x:is>
      </x:c>
      <x:c r="E6" s="249" t="n"/>
      <x:c r="F6" s="249" t="n"/>
      <x:c r="G6" s="249" t="n"/>
      <x:c r="H6" s="249" t="n"/>
      <x:c r="I6" s="249" t="n"/>
      <x:c r="J6" s="250" t="n"/>
    </x:row>
    <x:row r="7">
      <x:c r="A7" s="43" t="inlineStr">
        <x:is>
          <x:t xml:space="preserve">Remaining</x:t>
        </x:is>
      </x:c>
      <x:c r="B7" s="44" t="n">
        <x:f>B5-B6</x:f>
        <x:v>28</x:v>
      </x:c>
      <x:c r="D7" s="251" t="n"/>
      <x:c r="J7" s="252" t="n"/>
    </x:row>
    <x:row r="8">
      <x:c r="A8" s="43" t="inlineStr">
        <x:is>
          <x:t xml:space="preserve">Blocked</x:t>
        </x:is>
      </x:c>
      <x:c r="B8" s="44" t="n">
        <x:f>COUNTIF(I11:I46,"Blocked")</x:f>
        <x:v>0</x:v>
      </x:c>
      <x:c r="D8" s="251" t="n"/>
      <x:c r="J8" s="252" t="n"/>
    </x:row>
    <x:row r="9">
      <x:c r="A9" s="45" t="inlineStr">
        <x:is>
          <x:t xml:space="preserve">Progress</x:t>
        </x:is>
      </x:c>
      <x:c r="B9" s="253" t="n">
        <x:f>IFERROR(B6/B5,0)</x:f>
        <x:v>0.2222222222222222</x:v>
      </x:c>
      <x:c r="D9" s="254" t="n"/>
      <x:c r="E9" s="255" t="n"/>
      <x:c r="F9" s="255" t="n"/>
      <x:c r="G9" s="255" t="n"/>
      <x:c r="H9" s="255" t="n"/>
      <x:c r="I9" s="255" t="n"/>
      <x:c r="J9" s="256" t="n"/>
    </x:row>
    <x:row r="10" ht="36" customHeight="1">
      <x:c r="A10" s="94" t="inlineStr">
        <x:is>
          <x:t xml:space="preserve">Date</x:t>
        </x:is>
      </x:c>
      <x:c r="B10" s="94" t="inlineStr">
        <x:is>
          <x:t xml:space="preserve">Day</x:t>
        </x:is>
      </x:c>
      <x:c r="C10" s="94" t="inlineStr">
        <x:is>
          <x:t xml:space="preserve">Phase</x:t>
        </x:is>
      </x:c>
      <x:c r="D10" s="94" t="inlineStr">
        <x:is>
          <x:t xml:space="preserve">Morning: copy this entire prompt into Codex</x:t>
        </x:is>
      </x:c>
      <x:c r="E10" s="94" t="inlineStr">
        <x:is>
          <x:t xml:space="preserve">Evening / weekend: exactly what you do</x:t>
        </x:is>
      </x:c>
      <x:c r="F10" s="94" t="inlineStr">
        <x:is>
          <x:t xml:space="preserve">Time cap</x:t>
        </x:is>
      </x:c>
      <x:c r="G10" s="94" t="inlineStr">
        <x:is>
          <x:t xml:space="preserve">Done means</x:t>
        </x:is>
      </x:c>
      <x:c r="H10" s="94" t="inlineStr">
        <x:is>
          <x:t xml:space="preserve">Hard gate?</x:t>
        </x:is>
      </x:c>
      <x:c r="I10" s="94" t="inlineStr">
        <x:is>
          <x:t xml:space="preserve">Status</x:t>
        </x:is>
      </x:c>
      <x:c r="J10" s="94" t="inlineStr">
        <x:is>
          <x:t xml:space="preserve">Notes / evidence</x:t>
        </x:is>
      </x:c>
    </x:row>
    <x:row r="11" ht="168" customHeight="1">
      <x:c r="A11" s="257" t="n">
        <x:v>46293.5</x:v>
      </x:c>
      <x:c r="B11" s="96" t="inlineStr">
        <x:is>
          <x:t xml:space="preserve">Weekday</x:t>
        </x:is>
      </x:c>
      <x:c r="C11" s="97" t="inlineStr">
        <x:is>
          <x:t xml:space="preserve">Release &amp; data safety</x:t>
        </x:is>
      </x:c>
      <x:c r="D11" s="98" t="inlineStr">
        <x:is>
          <x:t xml:space="preserve">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x:t>
        </x:is>
      </x:c>
      <x:c r="E11" s="98" t="inlineStr">
        <x:is>
          <x:t xml:space="preserve">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x:t>
        </x:is>
      </x:c>
      <x:c r="F11" s="98" t="inlineStr">
        <x:is>
          <x:t xml:space="preserve">10 min morning + 75 min evening</x:t>
        </x:is>
      </x:c>
      <x:c r="G11" s="98" t="inlineStr">
        <x:is>
          <x:t xml:space="preserve">The named test passes with saved evidence and no unresolved auth, data-loss, isolation, save, restore, or export blocker.</x:t>
        </x:is>
      </x:c>
      <x:c r="H11" s="99" t="inlineStr">
        <x:is>
          <x:t xml:space="preserve">Yes</x:t>
        </x:is>
      </x:c>
      <x:c r="I11" s="99" t="inlineStr">
        <x:is>
          <x:t xml:space="preserve">Done</x:t>
        </x:is>
      </x:c>
      <x:c r="J11" s="98" t="inlineStr">
        <x:is>
          <x:t xml:space="preserve">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x:t>
        </x:is>
      </x:c>
    </x:row>
    <x:row r="12" ht="168" customHeight="1">
      <x:c r="A12" s="257" t="n">
        <x:v>46294.5</x:v>
      </x:c>
      <x:c r="B12" s="96" t="inlineStr">
        <x:is>
          <x:t xml:space="preserve">Weekday</x:t>
        </x:is>
      </x:c>
      <x:c r="C12" s="97" t="inlineStr">
        <x:is>
          <x:t xml:space="preserve">Release &amp; data safety</x:t>
        </x:is>
      </x:c>
      <x:c r="D12" s="98" t="inlineStr">
        <x:is>
          <x:t xml:space="preserve">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x:t>
        </x:is>
      </x:c>
      <x:c r="E12" s="98" t="inlineStr">
        <x:is>
          <x:t xml:space="preserve">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x:t>
        </x:is>
      </x:c>
      <x:c r="F12" s="98" t="inlineStr">
        <x:is>
          <x:t xml:space="preserve">10 min + 90 min</x:t>
        </x:is>
      </x:c>
      <x:c r="G12" s="98" t="inlineStr">
        <x:is>
          <x:t xml:space="preserve">The named test passes with saved evidence and no unresolved auth, data-loss, isolation, save, restore, or export blocker.</x:t>
        </x:is>
      </x:c>
      <x:c r="H12" s="99" t="inlineStr">
        <x:is>
          <x:t xml:space="preserve">Yes</x:t>
        </x:is>
      </x:c>
      <x:c r="I12" s="99" t="inlineStr">
        <x:is>
          <x:t xml:space="preserve">Done</x:t>
        </x:is>
      </x:c>
      <x:c r="J12" s="98" t="inlineStr">
        <x:is>
          <x:t xml:space="preserve">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x:t>
        </x:is>
      </x:c>
    </x:row>
    <x:row r="13" ht="168" customHeight="1">
      <x:c r="A13" s="257" t="n">
        <x:v>46295.5</x:v>
      </x:c>
      <x:c r="B13" s="96" t="inlineStr">
        <x:is>
          <x:t xml:space="preserve">Weekday</x:t>
        </x:is>
      </x:c>
      <x:c r="C13" s="97" t="inlineStr">
        <x:is>
          <x:t xml:space="preserve">Release &amp; data safety</x:t>
        </x:is>
      </x:c>
      <x:c r="D13" s="98" t="inlineStr">
        <x:is>
          <x:t xml:space="preserve">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x:t>
        </x:is>
      </x:c>
      <x:c r="E13" s="98" t="inlineStr">
        <x:is>
          <x:t xml:space="preserve">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x:t>
        </x:is>
      </x:c>
      <x:c r="F13" s="98" t="inlineStr">
        <x:is>
          <x:t xml:space="preserve">10 min + 90 min</x:t>
        </x:is>
      </x:c>
      <x:c r="G13" s="98" t="inlineStr">
        <x:is>
          <x:t xml:space="preserve">The named test passes with saved evidence and no unresolved auth, data-loss, isolation, save, restore, or export blocker.</x:t>
        </x:is>
      </x:c>
      <x:c r="H13" s="99" t="inlineStr">
        <x:is>
          <x:t xml:space="preserve">Yes</x:t>
        </x:is>
      </x:c>
      <x:c r="I13" s="99" t="inlineStr">
        <x:is>
          <x:t xml:space="preserve">Done</x:t>
        </x:is>
      </x:c>
      <x:c r="J13" s="98" t="inlineStr">
        <x:is>
          <x:t xml:space="preserve">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x:t>
        </x:is>
      </x:c>
    </x:row>
    <x:row r="14" ht="168" customHeight="1">
      <x:c r="A14" s="257" t="n">
        <x:v>46296.5</x:v>
      </x:c>
      <x:c r="B14" s="96" t="inlineStr">
        <x:is>
          <x:t xml:space="preserve">Weekday</x:t>
        </x:is>
      </x:c>
      <x:c r="C14" s="97" t="inlineStr">
        <x:is>
          <x:t xml:space="preserve">Release &amp; data safety</x:t>
        </x:is>
      </x:c>
      <x:c r="D14" s="98" t="inlineStr">
        <x:is>
          <x:t xml:space="preserve">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x:t>
        </x:is>
      </x:c>
      <x:c r="E14" s="98" t="inlineStr">
        <x:is>
          <x:t xml:space="preserve">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x:t>
        </x:is>
      </x:c>
      <x:c r="F14" s="98" t="inlineStr">
        <x:is>
          <x:t xml:space="preserve">10 min + 90 min</x:t>
        </x:is>
      </x:c>
      <x:c r="G14" s="98" t="inlineStr">
        <x:is>
          <x:t xml:space="preserve">The named test passes with saved evidence and no unresolved auth, data-loss, isolation, save, restore, or export blocker.</x:t>
        </x:is>
      </x:c>
      <x:c r="H14" s="99" t="inlineStr">
        <x:is>
          <x:t xml:space="preserve">Yes</x:t>
        </x:is>
      </x:c>
      <x:c r="I14" s="99" t="inlineStr">
        <x:is>
          <x:t xml:space="preserve">Done</x:t>
        </x:is>
      </x:c>
      <x:c r="J14" s="98" t="inlineStr">
        <x:is>
          <x:t xml:space="preserve">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x:t>
        </x:is>
      </x:c>
    </x:row>
    <x:row r="15" ht="168" customHeight="1">
      <x:c r="A15" s="257" t="n">
        <x:v>46297.5</x:v>
      </x:c>
      <x:c r="B15" s="96" t="inlineStr">
        <x:is>
          <x:t xml:space="preserve">Weekday</x:t>
        </x:is>
      </x:c>
      <x:c r="C15" s="97" t="inlineStr">
        <x:is>
          <x:t xml:space="preserve">Release &amp; data safety</x:t>
        </x:is>
      </x:c>
      <x:c r="D15" s="98" t="inlineStr">
        <x:is>
          <x:t xml:space="preserve">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x:t>
        </x:is>
      </x:c>
      <x:c r="E15" s="98" t="inlineStr">
        <x:is>
          <x:t xml:space="preserve">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x:t>
        </x:is>
      </x:c>
      <x:c r="F15" s="98" t="inlineStr">
        <x:is>
          <x:t xml:space="preserve">10 min + 90 min</x:t>
        </x:is>
      </x:c>
      <x:c r="G15" s="98" t="inlineStr">
        <x:is>
          <x:t xml:space="preserve">The named test passes with saved evidence and no unresolved auth, data-loss, isolation, save, restore, or export blocker.</x:t>
        </x:is>
      </x:c>
      <x:c r="H15" s="99" t="inlineStr">
        <x:is>
          <x:t xml:space="preserve">Yes</x:t>
        </x:is>
      </x:c>
      <x:c r="I15" s="99" t="inlineStr">
        <x:is>
          <x:t xml:space="preserve">Done</x:t>
        </x:is>
      </x:c>
      <x:c r="J15" s="98" t="inlineStr">
        <x:is>
          <x:t xml:space="preserve">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x:t>
        </x:is>
      </x:c>
    </x:row>
    <x:row r="16" ht="320" customHeight="1">
      <x:c r="A16" s="257" t="n">
        <x:v>46298.5</x:v>
      </x:c>
      <x:c r="B16" s="100" t="inlineStr">
        <x:is>
          <x:t xml:space="preserve">Weekend</x:t>
        </x:is>
      </x:c>
      <x:c r="C16" s="97" t="inlineStr">
        <x:is>
          <x:t xml:space="preserve">Release &amp; data safety</x:t>
        </x:is>
      </x:c>
      <x:c r="D16" s="98" t="inlineStr">
        <x:is>
          <x:t xml:space="preserve">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x:t>
        </x:is>
      </x:c>
      <x:c r="E16"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x:t>
        </x:is>
      </x:c>
      <x:c r="F16" s="98" t="inlineStr">
        <x:is>
          <x:t xml:space="preserve">15 min + up to 3 h 45 min</x:t>
        </x:is>
      </x:c>
      <x:c r="G16" s="98" t="inlineStr">
        <x:is>
          <x:t xml:space="preserve">The named test passes with saved evidence and no unresolved auth, data-loss, isolation, save, restore, or export blocker.</x:t>
        </x:is>
      </x:c>
      <x:c r="H16" s="99" t="inlineStr">
        <x:is>
          <x:t xml:space="preserve">Yes</x:t>
        </x:is>
      </x:c>
      <x:c r="I16" s="99" t="inlineStr">
        <x:is>
          <x:t xml:space="preserve">Done</x:t>
        </x:is>
      </x:c>
      <x:c r="J16" s="98" t="inlineStr">
        <x:is>
          <x:t xml:space="preserve">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x:t>
        </x:is>
      </x:c>
    </x:row>
    <x:row r="17" ht="168" customHeight="1">
      <x:c r="A17" s="257" t="n">
        <x:v>46299.5</x:v>
      </x:c>
      <x:c r="B17" s="100" t="inlineStr">
        <x:is>
          <x:t xml:space="preserve">Weekend</x:t>
        </x:is>
      </x:c>
      <x:c r="C17" s="97" t="inlineStr">
        <x:is>
          <x:t xml:space="preserve">Release &amp; data safety</x:t>
        </x:is>
      </x:c>
      <x:c r="D17" s="98" t="inlineStr">
        <x:is>
          <x:t xml:space="preserve">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x:t>
        </x:is>
      </x:c>
      <x:c r="E17"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x:t>
        </x:is>
      </x:c>
      <x:c r="F17" s="98" t="inlineStr">
        <x:is>
          <x:t xml:space="preserve">15 min + up to 3 h 45 min</x:t>
        </x:is>
      </x:c>
      <x:c r="G17" s="98" t="inlineStr">
        <x:is>
          <x:t xml:space="preserve">The named test passes with saved evidence and no unresolved auth, data-loss, isolation, save, restore, or export blocker.</x:t>
        </x:is>
      </x:c>
      <x:c r="H17" s="99" t="inlineStr">
        <x:is>
          <x:t xml:space="preserve">Yes</x:t>
        </x:is>
      </x:c>
      <x:c r="I17" s="99" t="inlineStr">
        <x:is>
          <x:t xml:space="preserve">Done</x:t>
        </x:is>
      </x:c>
      <x:c r="J17" s="98" t="inlineStr">
        <x:is>
          <x:t xml:space="preserve">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x:t>
        </x:is>
      </x:c>
    </x:row>
    <x:row r="18" ht="168" customHeight="1">
      <x:c r="A18" s="257" t="n">
        <x:v>46300.5</x:v>
      </x:c>
      <x:c r="B18" s="96" t="inlineStr">
        <x:is>
          <x:t xml:space="preserve">Weekday</x:t>
        </x:is>
      </x:c>
      <x:c r="C18" s="101" t="inlineStr">
        <x:is>
          <x:t xml:space="preserve">Cloud &amp; security</x:t>
        </x:is>
      </x:c>
      <x:c r="D18" s="98" t="inlineStr">
        <x:is>
          <x:t xml:space="preserve">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x:t>
        </x:is>
      </x:c>
      <x:c r="E18" s="98" t="inlineStr">
        <x:is>
          <x:t xml:space="preserve">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x:t>
        </x:is>
      </x:c>
      <x:c r="F18" s="98" t="inlineStr">
        <x:is>
          <x:t xml:space="preserve">10 min + 90 min</x:t>
        </x:is>
      </x:c>
      <x:c r="G18" s="98" t="inlineStr">
        <x:is>
          <x:t xml:space="preserve">The named production or export check passes with saved evidence and no unresolved security, ownership, storage, or lifecycle blocker.</x:t>
        </x:is>
      </x:c>
      <x:c r="H18" s="99" t="inlineStr">
        <x:is>
          <x:t xml:space="preserve">Yes</x:t>
        </x:is>
      </x:c>
      <x:c r="I18" s="99" t="inlineStr">
        <x:is>
          <x:t xml:space="preserve">Done</x:t>
        </x:is>
      </x:c>
      <x:c r="J18" s="98" t="inlineStr">
        <x:is>
          <x:t xml:space="preserve">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x:t>
        </x:is>
      </x:c>
    </x:row>
    <x:row r="19" ht="168" customHeight="1">
      <x:c r="A19" s="257" t="n">
        <x:v>46301.5</x:v>
      </x:c>
      <x:c r="B19" s="96" t="inlineStr">
        <x:is>
          <x:t xml:space="preserve">Weekday</x:t>
        </x:is>
      </x:c>
      <x:c r="C19" s="101" t="inlineStr">
        <x:is>
          <x:t xml:space="preserve">Cloud &amp; security</x:t>
        </x:is>
      </x:c>
      <x:c r="D19" s="98" t="inlineStr">
        <x:is>
          <x:t xml:space="preserve">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x:t>
        </x:is>
      </x:c>
      <x:c r="E19" s="98" t="inlineStr">
        <x:is>
          <x:t xml:space="preserve">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x:t>
        </x:is>
      </x:c>
      <x:c r="F19" s="98" t="inlineStr">
        <x:is>
          <x:t xml:space="preserve">10 min + 75 min</x:t>
        </x:is>
      </x:c>
      <x:c r="G19" s="98" t="inlineStr">
        <x:is>
          <x:t xml:space="preserve">The named production or export check passes with saved evidence and no unresolved security, ownership, storage, or lifecycle blocker.</x:t>
        </x:is>
      </x:c>
      <x:c r="H19" s="99" t="inlineStr">
        <x:is>
          <x:t xml:space="preserve">Yes</x:t>
        </x:is>
      </x:c>
      <x:c r="I19" s="99" t="inlineStr">
        <x:is>
          <x:t xml:space="preserve">Not started</x:t>
        </x:is>
      </x:c>
      <x:c r="J19" s="98" t="str"/>
    </x:row>
    <x:row r="20" ht="168" customHeight="1">
      <x:c r="A20" s="257" t="n">
        <x:v>46302.5</x:v>
      </x:c>
      <x:c r="B20" s="96" t="inlineStr">
        <x:is>
          <x:t xml:space="preserve">Weekday</x:t>
        </x:is>
      </x:c>
      <x:c r="C20" s="101" t="inlineStr">
        <x:is>
          <x:t xml:space="preserve">Cloud &amp; security</x:t>
        </x:is>
      </x:c>
      <x:c r="D20" s="98" t="inlineStr">
        <x:is>
          <x:t xml:space="preserve">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x:t>
        </x:is>
      </x:c>
      <x:c r="E20" s="98" t="inlineStr">
        <x:is>
          <x:t xml:space="preserve">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x:t>
        </x:is>
      </x:c>
      <x:c r="F20" s="98" t="inlineStr">
        <x:is>
          <x:t xml:space="preserve">10 min + 75 min</x:t>
        </x:is>
      </x:c>
      <x:c r="G20" s="98" t="inlineStr">
        <x:is>
          <x:t xml:space="preserve">The named production or export check passes with saved evidence and no unresolved security, ownership, storage, or lifecycle blocker.</x:t>
        </x:is>
      </x:c>
      <x:c r="H20" s="99" t="inlineStr">
        <x:is>
          <x:t xml:space="preserve">Yes</x:t>
        </x:is>
      </x:c>
      <x:c r="I20" s="99" t="inlineStr">
        <x:is>
          <x:t xml:space="preserve">Moved</x:t>
        </x:is>
      </x:c>
      <x:c r="J20" s="98" t="inlineStr">
        <x:is>
          <x:t xml:space="preserve">Moved 30 Sep: this day's content is rescheduled on the 'Plan from 1 Oct' sheet.</x:t>
        </x:is>
      </x:c>
    </x:row>
    <x:row r="21" ht="168" customHeight="1">
      <x:c r="A21" s="257" t="n">
        <x:v>46303.5</x:v>
      </x:c>
      <x:c r="B21" s="96" t="inlineStr">
        <x:is>
          <x:t xml:space="preserve">Weekday</x:t>
        </x:is>
      </x:c>
      <x:c r="C21" s="101" t="inlineStr">
        <x:is>
          <x:t xml:space="preserve">Cloud &amp; security</x:t>
        </x:is>
      </x:c>
      <x:c r="D21" s="98" t="inlineStr">
        <x:is>
          <x:t xml:space="preserve">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x:t>
        </x:is>
      </x:c>
      <x:c r="E21" s="98" t="inlineStr">
        <x:is>
          <x:t xml:space="preserve">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x:t>
        </x:is>
      </x:c>
      <x:c r="F21" s="98" t="inlineStr">
        <x:is>
          <x:t xml:space="preserve">10 min + 90 min</x:t>
        </x:is>
      </x:c>
      <x:c r="G21" s="98" t="inlineStr">
        <x:is>
          <x:t xml:space="preserve">The named production or export check passes with saved evidence and no unresolved security, ownership, storage, or lifecycle blocker.</x:t>
        </x:is>
      </x:c>
      <x:c r="H21" s="99" t="inlineStr">
        <x:is>
          <x:t xml:space="preserve">Yes</x:t>
        </x:is>
      </x:c>
      <x:c r="I21" s="99" t="inlineStr">
        <x:is>
          <x:t xml:space="preserve">Moved</x:t>
        </x:is>
      </x:c>
      <x:c r="J21" s="98" t="inlineStr">
        <x:is>
          <x:t xml:space="preserve">Moved 30 Sep: this day's content is rescheduled on the 'Plan from 1 Oct' sheet.</x:t>
        </x:is>
      </x:c>
    </x:row>
    <x:row r="22" ht="168" customHeight="1">
      <x:c r="A22" s="257" t="n">
        <x:v>46304.5</x:v>
      </x:c>
      <x:c r="B22" s="96" t="inlineStr">
        <x:is>
          <x:t xml:space="preserve">Weekday</x:t>
        </x:is>
      </x:c>
      <x:c r="C22" s="101" t="inlineStr">
        <x:is>
          <x:t xml:space="preserve">Cloud &amp; security</x:t>
        </x:is>
      </x:c>
      <x:c r="D22" s="98" t="inlineStr">
        <x:is>
          <x:t xml:space="preserve">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x:t>
        </x:is>
      </x:c>
      <x:c r="E22" s="98" t="inlineStr">
        <x:is>
          <x:t xml:space="preserve">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x:t>
        </x:is>
      </x:c>
      <x:c r="F22" s="98" t="inlineStr">
        <x:is>
          <x:t xml:space="preserve">10 min + 60 min</x:t>
        </x:is>
      </x:c>
      <x:c r="G22" s="98" t="inlineStr">
        <x:is>
          <x:t xml:space="preserve">The named production or export check passes with saved evidence and no unresolved security, ownership, storage, or lifecycle blocker.</x:t>
        </x:is>
      </x:c>
      <x:c r="H22" s="99" t="inlineStr">
        <x:is>
          <x:t xml:space="preserve">Yes</x:t>
        </x:is>
      </x:c>
      <x:c r="I22" s="99" t="inlineStr">
        <x:is>
          <x:t xml:space="preserve">Moved</x:t>
        </x:is>
      </x:c>
      <x:c r="J22" s="98" t="inlineStr">
        <x:is>
          <x:t xml:space="preserve">Moved 30 Sep: this day's content is rescheduled on the 'Plan from 1 Oct' sheet.</x:t>
        </x:is>
      </x:c>
    </x:row>
    <x:row r="23" ht="168" customHeight="1">
      <x:c r="A23" s="257" t="n">
        <x:v>46305.5</x:v>
      </x:c>
      <x:c r="B23" s="100" t="inlineStr">
        <x:is>
          <x:t xml:space="preserve">Weekend</x:t>
        </x:is>
      </x:c>
      <x:c r="C23" s="101" t="inlineStr">
        <x:is>
          <x:t xml:space="preserve">Cloud &amp; security</x:t>
        </x:is>
      </x:c>
      <x:c r="D23" s="98" t="inlineStr">
        <x:is>
          <x:t xml:space="preserve">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x:t>
        </x:is>
      </x:c>
      <x:c r="E23"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x:t>
        </x:is>
      </x:c>
      <x:c r="F23" s="98" t="inlineStr">
        <x:is>
          <x:t xml:space="preserve">15 min + up to 3 h 45 min</x:t>
        </x:is>
      </x:c>
      <x:c r="G23" s="98" t="inlineStr">
        <x:is>
          <x:t xml:space="preserve">The named production or export check passes with saved evidence and no unresolved security, ownership, storage, or lifecycle blocker.</x:t>
        </x:is>
      </x:c>
      <x:c r="H23" s="99" t="inlineStr">
        <x:is>
          <x:t xml:space="preserve">Yes</x:t>
        </x:is>
      </x:c>
      <x:c r="I23" s="99" t="inlineStr">
        <x:is>
          <x:t xml:space="preserve">Moved</x:t>
        </x:is>
      </x:c>
      <x:c r="J23" s="98" t="inlineStr">
        <x:is>
          <x:t xml:space="preserve">Moved 30 Sep: this day's content is rescheduled on the 'Plan from 1 Oct' sheet.</x:t>
        </x:is>
      </x:c>
    </x:row>
    <x:row r="24" ht="168" customHeight="1">
      <x:c r="A24" s="257" t="n">
        <x:v>46306.5</x:v>
      </x:c>
      <x:c r="B24" s="100" t="inlineStr">
        <x:is>
          <x:t xml:space="preserve">Weekend</x:t>
        </x:is>
      </x:c>
      <x:c r="C24" s="101" t="inlineStr">
        <x:is>
          <x:t xml:space="preserve">Cloud &amp; security</x:t>
        </x:is>
      </x:c>
      <x:c r="D24" s="98" t="inlineStr">
        <x:is>
          <x:t xml:space="preserve">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x:t>
        </x:is>
      </x:c>
      <x:c r="E24"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x:t>
        </x:is>
      </x:c>
      <x:c r="F24" s="98" t="inlineStr">
        <x:is>
          <x:t xml:space="preserve">15 min + up to 3 h 45 min</x:t>
        </x:is>
      </x:c>
      <x:c r="G24" s="98" t="inlineStr">
        <x:is>
          <x:t xml:space="preserve">The named production or export check passes with saved evidence and no unresolved security, ownership, storage, or lifecycle blocker.</x:t>
        </x:is>
      </x:c>
      <x:c r="H24" s="99" t="inlineStr">
        <x:is>
          <x:t xml:space="preserve">Yes</x:t>
        </x:is>
      </x:c>
      <x:c r="I24" s="99" t="inlineStr">
        <x:is>
          <x:t xml:space="preserve">Moved</x:t>
        </x:is>
      </x:c>
      <x:c r="J24" s="98" t="inlineStr">
        <x:is>
          <x:t xml:space="preserve">Moved 30 Sep: this day's content is rescheduled on the 'Plan from 1 Oct' sheet.</x:t>
        </x:is>
      </x:c>
    </x:row>
    <x:row r="25" ht="168" customHeight="1">
      <x:c r="A25" s="257" t="n">
        <x:v>46307.5</x:v>
      </x:c>
      <x:c r="B25" s="96" t="inlineStr">
        <x:is>
          <x:t xml:space="preserve">Weekday</x:t>
        </x:is>
      </x:c>
      <x:c r="C25" s="100" t="inlineStr">
        <x:is>
          <x:t xml:space="preserve">Desktop</x:t>
        </x:is>
      </x:c>
      <x:c r="D25" s="98" t="inlineStr">
        <x:is>
          <x:t xml:space="preserve">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x:t>
        </x:is>
      </x:c>
      <x:c r="E25" s="98" t="inlineStr">
        <x:is>
          <x:t xml:space="preserve">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x:t>
        </x:is>
      </x:c>
      <x:c r="F25" s="98" t="inlineStr">
        <x:is>
          <x:t xml:space="preserve">10 min + 100 min</x:t>
        </x:is>
      </x:c>
      <x:c r="G25" s="98" t="inlineStr">
        <x:is>
          <x:t xml:space="preserve">The named packaged-app journey passes on the required real machine, and the evidence is saved.</x:t>
        </x:is>
      </x:c>
      <x:c r="H25" s="99" t="inlineStr">
        <x:is>
          <x:t xml:space="preserve">Yes</x:t>
        </x:is>
      </x:c>
      <x:c r="I25" s="99" t="inlineStr">
        <x:is>
          <x:t xml:space="preserve">Moved</x:t>
        </x:is>
      </x:c>
      <x:c r="J25" s="98" t="inlineStr">
        <x:is>
          <x:t xml:space="preserve">Moved 30 Sep: this day's content is rescheduled on the 'Plan from 1 Oct' sheet.</x:t>
        </x:is>
      </x:c>
    </x:row>
    <x:row r="26" ht="168" customHeight="1">
      <x:c r="A26" s="257" t="n">
        <x:v>46308.5</x:v>
      </x:c>
      <x:c r="B26" s="96" t="inlineStr">
        <x:is>
          <x:t xml:space="preserve">Weekday</x:t>
        </x:is>
      </x:c>
      <x:c r="C26" s="100" t="inlineStr">
        <x:is>
          <x:t xml:space="preserve">Desktop</x:t>
        </x:is>
      </x:c>
      <x:c r="D26" s="98" t="inlineStr">
        <x:is>
          <x:t xml:space="preserve">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x:t>
        </x:is>
      </x:c>
      <x:c r="E26" s="98" t="inlineStr">
        <x:is>
          <x:t xml:space="preserve">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x:t>
        </x:is>
      </x:c>
      <x:c r="F26" s="98" t="inlineStr">
        <x:is>
          <x:t xml:space="preserve">10 min + 100 min</x:t>
        </x:is>
      </x:c>
      <x:c r="G26" s="98" t="inlineStr">
        <x:is>
          <x:t xml:space="preserve">The named packaged-app journey passes on the required real machine, and the evidence is saved.</x:t>
        </x:is>
      </x:c>
      <x:c r="H26" s="99" t="inlineStr">
        <x:is>
          <x:t xml:space="preserve">Yes</x:t>
        </x:is>
      </x:c>
      <x:c r="I26" s="99" t="inlineStr">
        <x:is>
          <x:t xml:space="preserve">Moved</x:t>
        </x:is>
      </x:c>
      <x:c r="J26" s="98" t="inlineStr">
        <x:is>
          <x:t xml:space="preserve">Moved 30 Sep: this day's content is rescheduled on the 'Plan from 1 Oct' sheet.</x:t>
        </x:is>
      </x:c>
    </x:row>
    <x:row r="27" ht="168" customHeight="1">
      <x:c r="A27" s="257" t="n">
        <x:v>46309.5</x:v>
      </x:c>
      <x:c r="B27" s="96" t="inlineStr">
        <x:is>
          <x:t xml:space="preserve">Weekday</x:t>
        </x:is>
      </x:c>
      <x:c r="C27" s="100" t="inlineStr">
        <x:is>
          <x:t xml:space="preserve">Desktop</x:t>
        </x:is>
      </x:c>
      <x:c r="D27" s="98" t="inlineStr">
        <x:is>
          <x:t xml:space="preserve">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x:t>
        </x:is>
      </x:c>
      <x:c r="E27" s="98" t="inlineStr">
        <x:is>
          <x:t xml:space="preserve">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x:t>
        </x:is>
      </x:c>
      <x:c r="F27" s="98" t="inlineStr">
        <x:is>
          <x:t xml:space="preserve">10 min + 90 min</x:t>
        </x:is>
      </x:c>
      <x:c r="G27" s="98" t="inlineStr">
        <x:is>
          <x:t xml:space="preserve">The named packaged-app journey passes on the required real machine, and the evidence is saved.</x:t>
        </x:is>
      </x:c>
      <x:c r="H27" s="99" t="inlineStr">
        <x:is>
          <x:t xml:space="preserve">Yes</x:t>
        </x:is>
      </x:c>
      <x:c r="I27" s="99" t="inlineStr">
        <x:is>
          <x:t xml:space="preserve">Moved</x:t>
        </x:is>
      </x:c>
      <x:c r="J27" s="98" t="inlineStr">
        <x:is>
          <x:t xml:space="preserve">Moved 30 Sep: this day's content is rescheduled on the 'Plan from 1 Oct' sheet.</x:t>
        </x:is>
      </x:c>
    </x:row>
    <x:row r="28" ht="168" customHeight="1">
      <x:c r="A28" s="257" t="n">
        <x:v>46310.5</x:v>
      </x:c>
      <x:c r="B28" s="96" t="inlineStr">
        <x:is>
          <x:t xml:space="preserve">Weekday</x:t>
        </x:is>
      </x:c>
      <x:c r="C28" s="100" t="inlineStr">
        <x:is>
          <x:t xml:space="preserve">Desktop</x:t>
        </x:is>
      </x:c>
      <x:c r="D28" s="98" t="inlineStr">
        <x:is>
          <x:t xml:space="preserve">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x:t>
        </x:is>
      </x:c>
      <x:c r="E28" s="98" t="inlineStr">
        <x:is>
          <x:t xml:space="preserve">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x:t>
        </x:is>
      </x:c>
      <x:c r="F28" s="98" t="inlineStr">
        <x:is>
          <x:t xml:space="preserve">10 min + 100 min</x:t>
        </x:is>
      </x:c>
      <x:c r="G28" s="98" t="inlineStr">
        <x:is>
          <x:t xml:space="preserve">The named packaged-app journey passes on the required real machine, and the evidence is saved.</x:t>
        </x:is>
      </x:c>
      <x:c r="H28" s="99" t="inlineStr">
        <x:is>
          <x:t xml:space="preserve">Yes</x:t>
        </x:is>
      </x:c>
      <x:c r="I28" s="99" t="inlineStr">
        <x:is>
          <x:t xml:space="preserve">Moved</x:t>
        </x:is>
      </x:c>
      <x:c r="J28" s="98" t="inlineStr">
        <x:is>
          <x:t xml:space="preserve">Moved 30 Sep: this day's content is rescheduled on the 'Plan from 1 Oct' sheet.</x:t>
        </x:is>
      </x:c>
    </x:row>
    <x:row r="29" ht="168" customHeight="1">
      <x:c r="A29" s="257" t="n">
        <x:v>46311.5</x:v>
      </x:c>
      <x:c r="B29" s="96" t="inlineStr">
        <x:is>
          <x:t xml:space="preserve">Weekday</x:t>
        </x:is>
      </x:c>
      <x:c r="C29" s="100" t="inlineStr">
        <x:is>
          <x:t xml:space="preserve">Desktop</x:t>
        </x:is>
      </x:c>
      <x:c r="D29" s="98" t="inlineStr">
        <x:is>
          <x:t xml:space="preserve">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x:t>
        </x:is>
      </x:c>
      <x:c r="E29" s="98" t="inlineStr">
        <x:is>
          <x:t xml:space="preserve">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x:t>
        </x:is>
      </x:c>
      <x:c r="F29" s="98" t="inlineStr">
        <x:is>
          <x:t xml:space="preserve">10 min + 75 min</x:t>
        </x:is>
      </x:c>
      <x:c r="G29" s="98" t="inlineStr">
        <x:is>
          <x:t xml:space="preserve">The named packaged-app journey passes on the required real machine, and the evidence is saved.</x:t>
        </x:is>
      </x:c>
      <x:c r="H29" s="99" t="inlineStr">
        <x:is>
          <x:t xml:space="preserve">Yes</x:t>
        </x:is>
      </x:c>
      <x:c r="I29" s="99" t="inlineStr">
        <x:is>
          <x:t xml:space="preserve">Moved</x:t>
        </x:is>
      </x:c>
      <x:c r="J29" s="98" t="inlineStr">
        <x:is>
          <x:t xml:space="preserve">Moved 30 Sep: this day's content is rescheduled on the 'Plan from 1 Oct' sheet.</x:t>
        </x:is>
      </x:c>
    </x:row>
    <x:row r="30" ht="168" customHeight="1">
      <x:c r="A30" s="257" t="n">
        <x:v>46312.5</x:v>
      </x:c>
      <x:c r="B30" s="100" t="inlineStr">
        <x:is>
          <x:t xml:space="preserve">Weekend</x:t>
        </x:is>
      </x:c>
      <x:c r="C30" s="100" t="inlineStr">
        <x:is>
          <x:t xml:space="preserve">Desktop</x:t>
        </x:is>
      </x:c>
      <x:c r="D30" s="98" t="inlineStr">
        <x:is>
          <x:t xml:space="preserve">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x:t>
        </x:is>
      </x:c>
      <x:c r="E30"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x:t>
        </x:is>
      </x:c>
      <x:c r="F30" s="98" t="inlineStr">
        <x:is>
          <x:t xml:space="preserve">15 min + up to 3 h 45 min</x:t>
        </x:is>
      </x:c>
      <x:c r="G30" s="98" t="inlineStr">
        <x:is>
          <x:t xml:space="preserve">The named packaged-app journey passes on the required real machine, and the evidence is saved.</x:t>
        </x:is>
      </x:c>
      <x:c r="H30" s="99" t="inlineStr">
        <x:is>
          <x:t xml:space="preserve">Yes</x:t>
        </x:is>
      </x:c>
      <x:c r="I30" s="99" t="inlineStr">
        <x:is>
          <x:t xml:space="preserve">Moved</x:t>
        </x:is>
      </x:c>
      <x:c r="J30" s="98" t="inlineStr">
        <x:is>
          <x:t xml:space="preserve">Moved 30 Sep: this day's content is rescheduled on the 'Plan from 1 Oct' sheet.</x:t>
        </x:is>
      </x:c>
    </x:row>
    <x:row r="31" ht="168" customHeight="1">
      <x:c r="A31" s="257" t="n">
        <x:v>46313.5</x:v>
      </x:c>
      <x:c r="B31" s="100" t="inlineStr">
        <x:is>
          <x:t xml:space="preserve">Weekend</x:t>
        </x:is>
      </x:c>
      <x:c r="C31" s="100" t="inlineStr">
        <x:is>
          <x:t xml:space="preserve">Desktop</x:t>
        </x:is>
      </x:c>
      <x:c r="D31" s="98" t="inlineStr">
        <x:is>
          <x:t xml:space="preserve">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x:t>
        </x:is>
      </x:c>
      <x:c r="E31"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x:t>
        </x:is>
      </x:c>
      <x:c r="F31" s="98" t="inlineStr">
        <x:is>
          <x:t xml:space="preserve">15 min + up to 3 h 45 min</x:t>
        </x:is>
      </x:c>
      <x:c r="G31" s="98" t="inlineStr">
        <x:is>
          <x:t xml:space="preserve">The named packaged-app journey passes on the required real machine, and the evidence is saved.</x:t>
        </x:is>
      </x:c>
      <x:c r="H31" s="99" t="inlineStr">
        <x:is>
          <x:t xml:space="preserve">Yes</x:t>
        </x:is>
      </x:c>
      <x:c r="I31" s="99" t="inlineStr">
        <x:is>
          <x:t xml:space="preserve">Moved</x:t>
        </x:is>
      </x:c>
      <x:c r="J31" s="98" t="inlineStr">
        <x:is>
          <x:t xml:space="preserve">Moved 30 Sep: this day's content is rescheduled on the 'Plan from 1 Oct' sheet.</x:t>
        </x:is>
      </x:c>
    </x:row>
    <x:row r="32" ht="168" customHeight="1">
      <x:c r="A32" s="257" t="n">
        <x:v>46314.5</x:v>
      </x:c>
      <x:c r="B32" s="96" t="inlineStr">
        <x:is>
          <x:t xml:space="preserve">Weekday</x:t>
        </x:is>
      </x:c>
      <x:c r="C32" s="102" t="inlineStr">
        <x:is>
          <x:t xml:space="preserve">Product acceptance</x:t>
        </x:is>
      </x:c>
      <x:c r="D32" s="98" t="inlineStr">
        <x:is>
          <x:t xml:space="preserve">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x:t>
        </x:is>
      </x:c>
      <x:c r="E32" s="98" t="inlineStr">
        <x:is>
          <x:t xml:space="preserve">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x:t>
        </x:is>
      </x:c>
      <x:c r="F32" s="98" t="inlineStr">
        <x:is>
          <x:t xml:space="preserve">10 min + 100 min</x:t>
        </x:is>
      </x:c>
      <x:c r="G32" s="98" t="inlineStr">
        <x:is>
          <x:t xml:space="preserve">The named customer journey works as advertised, and any reproducible launch-blocking failure is fixed and retested.</x:t>
        </x:is>
      </x:c>
      <x:c r="H32" s="99" t="inlineStr">
        <x:is>
          <x:t xml:space="preserve">Yes</x:t>
        </x:is>
      </x:c>
      <x:c r="I32" s="99" t="inlineStr">
        <x:is>
          <x:t xml:space="preserve">Moved</x:t>
        </x:is>
      </x:c>
      <x:c r="J32" s="98" t="inlineStr">
        <x:is>
          <x:t xml:space="preserve">Moved 30 Sep: this day's content is rescheduled on the 'Plan from 1 Oct' sheet.</x:t>
        </x:is>
      </x:c>
    </x:row>
    <x:row r="33" ht="168" customHeight="1">
      <x:c r="A33" s="257" t="n">
        <x:v>46315.5</x:v>
      </x:c>
      <x:c r="B33" s="96" t="inlineStr">
        <x:is>
          <x:t xml:space="preserve">Weekday</x:t>
        </x:is>
      </x:c>
      <x:c r="C33" s="102" t="inlineStr">
        <x:is>
          <x:t xml:space="preserve">Product acceptance</x:t>
        </x:is>
      </x:c>
      <x:c r="D33" s="98" t="inlineStr">
        <x:is>
          <x:t xml:space="preserve">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x:t>
        </x:is>
      </x:c>
      <x:c r="E33" s="98" t="inlineStr">
        <x:is>
          <x:t xml:space="preserve">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x:t>
        </x:is>
      </x:c>
      <x:c r="F33" s="98" t="inlineStr">
        <x:is>
          <x:t xml:space="preserve">10 min + 100 min</x:t>
        </x:is>
      </x:c>
      <x:c r="G33" s="98" t="inlineStr">
        <x:is>
          <x:t xml:space="preserve">The named customer journey works as advertised, and any reproducible launch-blocking failure is fixed and retested.</x:t>
        </x:is>
      </x:c>
      <x:c r="H33" s="99" t="inlineStr">
        <x:is>
          <x:t xml:space="preserve">Yes</x:t>
        </x:is>
      </x:c>
      <x:c r="I33" s="99" t="inlineStr">
        <x:is>
          <x:t xml:space="preserve">Moved</x:t>
        </x:is>
      </x:c>
      <x:c r="J33" s="98" t="inlineStr">
        <x:is>
          <x:t xml:space="preserve">Moved 30 Sep: this day's content is rescheduled on the 'Plan from 1 Oct' sheet.</x:t>
        </x:is>
      </x:c>
    </x:row>
    <x:row r="34" ht="168" customHeight="1">
      <x:c r="A34" s="257" t="n">
        <x:v>46316.5</x:v>
      </x:c>
      <x:c r="B34" s="96" t="inlineStr">
        <x:is>
          <x:t xml:space="preserve">Weekday</x:t>
        </x:is>
      </x:c>
      <x:c r="C34" s="102" t="inlineStr">
        <x:is>
          <x:t xml:space="preserve">Product acceptance</x:t>
        </x:is>
      </x:c>
      <x:c r="D34" s="98" t="inlineStr">
        <x:is>
          <x:t xml:space="preserve">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x:t>
        </x:is>
      </x:c>
      <x:c r="E34" s="98" t="inlineStr">
        <x:is>
          <x:t xml:space="preserve">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x:t>
        </x:is>
      </x:c>
      <x:c r="F34" s="98" t="inlineStr">
        <x:is>
          <x:t xml:space="preserve">10 min + 100 min</x:t>
        </x:is>
      </x:c>
      <x:c r="G34" s="98" t="inlineStr">
        <x:is>
          <x:t xml:space="preserve">The named customer journey works as advertised, and any reproducible launch-blocking failure is fixed and retested.</x:t>
        </x:is>
      </x:c>
      <x:c r="H34" s="99" t="inlineStr">
        <x:is>
          <x:t xml:space="preserve">Yes</x:t>
        </x:is>
      </x:c>
      <x:c r="I34" s="99" t="inlineStr">
        <x:is>
          <x:t xml:space="preserve">Moved</x:t>
        </x:is>
      </x:c>
      <x:c r="J34" s="98" t="inlineStr">
        <x:is>
          <x:t xml:space="preserve">Moved 30 Sep: this day's content is rescheduled on the 'Plan from 1 Oct' sheet.</x:t>
        </x:is>
      </x:c>
    </x:row>
    <x:row r="35" ht="168" customHeight="1">
      <x:c r="A35" s="257" t="n">
        <x:v>46317.5</x:v>
      </x:c>
      <x:c r="B35" s="96" t="inlineStr">
        <x:is>
          <x:t xml:space="preserve">Weekday</x:t>
        </x:is>
      </x:c>
      <x:c r="C35" s="102" t="inlineStr">
        <x:is>
          <x:t xml:space="preserve">Product acceptance</x:t>
        </x:is>
      </x:c>
      <x:c r="D35" s="98" t="inlineStr">
        <x:is>
          <x:t xml:space="preserve">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x:t>
        </x:is>
      </x:c>
      <x:c r="E35" s="98" t="inlineStr">
        <x:is>
          <x:t xml:space="preserve">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x:t>
        </x:is>
      </x:c>
      <x:c r="F35" s="98" t="inlineStr">
        <x:is>
          <x:t xml:space="preserve">10 min + 100 min</x:t>
        </x:is>
      </x:c>
      <x:c r="G35" s="98" t="inlineStr">
        <x:is>
          <x:t xml:space="preserve">The named customer journey works as advertised, and any reproducible launch-blocking failure is fixed and retested.</x:t>
        </x:is>
      </x:c>
      <x:c r="H35" s="99" t="inlineStr">
        <x:is>
          <x:t xml:space="preserve">Yes</x:t>
        </x:is>
      </x:c>
      <x:c r="I35" s="99" t="inlineStr">
        <x:is>
          <x:t xml:space="preserve">Moved</x:t>
        </x:is>
      </x:c>
      <x:c r="J35" s="98" t="inlineStr">
        <x:is>
          <x:t xml:space="preserve">Moved 30 Sep: this day's content is rescheduled on the 'Plan from 1 Oct' sheet.</x:t>
        </x:is>
      </x:c>
    </x:row>
    <x:row r="36" ht="168" customHeight="1">
      <x:c r="A36" s="257" t="n">
        <x:v>46318.5</x:v>
      </x:c>
      <x:c r="B36" s="96" t="inlineStr">
        <x:is>
          <x:t xml:space="preserve">Weekday</x:t>
        </x:is>
      </x:c>
      <x:c r="C36" s="102" t="inlineStr">
        <x:is>
          <x:t xml:space="preserve">Product acceptance</x:t>
        </x:is>
      </x:c>
      <x:c r="D36" s="98" t="inlineStr">
        <x:is>
          <x:t xml:space="preserve">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x:t>
        </x:is>
      </x:c>
      <x:c r="E36" s="98" t="inlineStr">
        <x:is>
          <x:t xml:space="preserve">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x:t>
        </x:is>
      </x:c>
      <x:c r="F36" s="98" t="inlineStr">
        <x:is>
          <x:t xml:space="preserve">10 min + 100 min</x:t>
        </x:is>
      </x:c>
      <x:c r="G36" s="98" t="inlineStr">
        <x:is>
          <x:t xml:space="preserve">The named customer journey works as advertised, and any reproducible launch-blocking failure is fixed and retested.</x:t>
        </x:is>
      </x:c>
      <x:c r="H36" s="99" t="inlineStr">
        <x:is>
          <x:t xml:space="preserve">Yes</x:t>
        </x:is>
      </x:c>
      <x:c r="I36" s="99" t="inlineStr">
        <x:is>
          <x:t xml:space="preserve">Moved</x:t>
        </x:is>
      </x:c>
      <x:c r="J36" s="98" t="inlineStr">
        <x:is>
          <x:t xml:space="preserve">Moved 30 Sep: this day's content is rescheduled on the 'Plan from 1 Oct' sheet.</x:t>
        </x:is>
      </x:c>
    </x:row>
    <x:row r="37" ht="168" customHeight="1">
      <x:c r="A37" s="257" t="n">
        <x:v>46319.5</x:v>
      </x:c>
      <x:c r="B37" s="100" t="inlineStr">
        <x:is>
          <x:t xml:space="preserve">Weekend</x:t>
        </x:is>
      </x:c>
      <x:c r="C37" s="102" t="inlineStr">
        <x:is>
          <x:t xml:space="preserve">Product acceptance</x:t>
        </x:is>
      </x:c>
      <x:c r="D37" s="98" t="inlineStr">
        <x:is>
          <x:t xml:space="preserve">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x:t>
        </x:is>
      </x:c>
      <x:c r="E37"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x:t>
        </x:is>
      </x:c>
      <x:c r="F37" s="98" t="inlineStr">
        <x:is>
          <x:t xml:space="preserve">15 min + up to 3 h 45 min</x:t>
        </x:is>
      </x:c>
      <x:c r="G37" s="98" t="inlineStr">
        <x:is>
          <x:t xml:space="preserve">The named customer journey works as advertised, and any reproducible launch-blocking failure is fixed and retested.</x:t>
        </x:is>
      </x:c>
      <x:c r="H37" s="99" t="inlineStr">
        <x:is>
          <x:t xml:space="preserve">Yes</x:t>
        </x:is>
      </x:c>
      <x:c r="I37" s="99" t="inlineStr">
        <x:is>
          <x:t xml:space="preserve">Moved</x:t>
        </x:is>
      </x:c>
      <x:c r="J37" s="98" t="inlineStr">
        <x:is>
          <x:t xml:space="preserve">Moved 30 Sep: this day's content is rescheduled on the 'Plan from 1 Oct' sheet.</x:t>
        </x:is>
      </x:c>
    </x:row>
    <x:row r="38" ht="168" customHeight="1">
      <x:c r="A38" s="257" t="n">
        <x:v>46320.5</x:v>
      </x:c>
      <x:c r="B38" s="100" t="inlineStr">
        <x:is>
          <x:t xml:space="preserve">Weekend</x:t>
        </x:is>
      </x:c>
      <x:c r="C38" s="102" t="inlineStr">
        <x:is>
          <x:t xml:space="preserve">Product acceptance</x:t>
        </x:is>
      </x:c>
      <x:c r="D38" s="98" t="inlineStr">
        <x:is>
          <x:t xml:space="preserve">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x:t>
        </x:is>
      </x:c>
      <x:c r="E38"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x:t>
        </x:is>
      </x:c>
      <x:c r="F38" s="98" t="inlineStr">
        <x:is>
          <x:t xml:space="preserve">15 min + up to 3 h 45 min</x:t>
        </x:is>
      </x:c>
      <x:c r="G38" s="98" t="inlineStr">
        <x:is>
          <x:t xml:space="preserve">The named customer journey works as advertised, and any reproducible launch-blocking failure is fixed and retested.</x:t>
        </x:is>
      </x:c>
      <x:c r="H38" s="99" t="inlineStr">
        <x:is>
          <x:t xml:space="preserve">Yes</x:t>
        </x:is>
      </x:c>
      <x:c r="I38" s="99" t="inlineStr">
        <x:is>
          <x:t xml:space="preserve">Moved</x:t>
        </x:is>
      </x:c>
      <x:c r="J38" s="98" t="inlineStr">
        <x:is>
          <x:t xml:space="preserve">Moved 30 Sep: this day's content is rescheduled on the 'Plan from 1 Oct' sheet.</x:t>
        </x:is>
      </x:c>
    </x:row>
    <x:row r="39" ht="168" customHeight="1">
      <x:c r="A39" s="257" t="n">
        <x:v>46321.5</x:v>
      </x:c>
      <x:c r="B39" s="96" t="inlineStr">
        <x:is>
          <x:t xml:space="preserve">Weekday</x:t>
        </x:is>
      </x:c>
      <x:c r="C39" s="103" t="inlineStr">
        <x:is>
          <x:t xml:space="preserve">Payments &amp; release</x:t>
        </x:is>
      </x:c>
      <x:c r="D39" s="98" t="inlineStr">
        <x:is>
          <x:t xml:space="preserve">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x:t>
        </x:is>
      </x:c>
      <x:c r="E39" s="98" t="inlineStr">
        <x:is>
          <x:t xml:space="preserve">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x:t>
        </x:is>
      </x:c>
      <x:c r="F39" s="98" t="inlineStr">
        <x:is>
          <x:t xml:space="preserve">10 min + 100 min</x:t>
        </x:is>
      </x:c>
      <x:c r="G39" s="98" t="inlineStr">
        <x:is>
          <x:t xml:space="preserve">The named legal, payment, Beta, or release check passes, evidence is saved, and no promise conflicts with behaviour.</x:t>
        </x:is>
      </x:c>
      <x:c r="H39" s="99" t="inlineStr">
        <x:is>
          <x:t xml:space="preserve">Yes</x:t>
        </x:is>
      </x:c>
      <x:c r="I39" s="99" t="inlineStr">
        <x:is>
          <x:t xml:space="preserve">Moved</x:t>
        </x:is>
      </x:c>
      <x:c r="J39" s="98" t="inlineStr">
        <x:is>
          <x:t xml:space="preserve">Moved 30 Sep: this day's content is rescheduled on the 'Plan from 1 Oct' sheet.</x:t>
        </x:is>
      </x:c>
    </x:row>
    <x:row r="40" ht="168" customHeight="1">
      <x:c r="A40" s="257" t="n">
        <x:v>46322.5</x:v>
      </x:c>
      <x:c r="B40" s="96" t="inlineStr">
        <x:is>
          <x:t xml:space="preserve">Weekday</x:t>
        </x:is>
      </x:c>
      <x:c r="C40" s="103" t="inlineStr">
        <x:is>
          <x:t xml:space="preserve">Payments &amp; release</x:t>
        </x:is>
      </x:c>
      <x:c r="D40" s="98" t="inlineStr">
        <x:is>
          <x:t xml:space="preserve">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x:t>
        </x:is>
      </x:c>
      <x:c r="E40" s="98" t="inlineStr">
        <x:is>
          <x:t xml:space="preserve">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x:t>
        </x:is>
      </x:c>
      <x:c r="F40" s="98" t="inlineStr">
        <x:is>
          <x:t xml:space="preserve">10 min + 90 min</x:t>
        </x:is>
      </x:c>
      <x:c r="G40" s="98" t="inlineStr">
        <x:is>
          <x:t xml:space="preserve">The named legal, payment, Beta, or release check passes, evidence is saved, and no promise conflicts with behaviour.</x:t>
        </x:is>
      </x:c>
      <x:c r="H40" s="99" t="inlineStr">
        <x:is>
          <x:t xml:space="preserve">Yes</x:t>
        </x:is>
      </x:c>
      <x:c r="I40" s="99" t="inlineStr">
        <x:is>
          <x:t xml:space="preserve">Moved</x:t>
        </x:is>
      </x:c>
      <x:c r="J40" s="98" t="inlineStr">
        <x:is>
          <x:t xml:space="preserve">Moved 30 Sep: this day's content is rescheduled on the 'Plan from 1 Oct' sheet.</x:t>
        </x:is>
      </x:c>
    </x:row>
    <x:row r="41" ht="168" customHeight="1">
      <x:c r="A41" s="257" t="n">
        <x:v>46323.5</x:v>
      </x:c>
      <x:c r="B41" s="96" t="inlineStr">
        <x:is>
          <x:t xml:space="preserve">Weekday</x:t>
        </x:is>
      </x:c>
      <x:c r="C41" s="103" t="inlineStr">
        <x:is>
          <x:t xml:space="preserve">Payments &amp; release</x:t>
        </x:is>
      </x:c>
      <x:c r="D41" s="98" t="str">
        <x:v>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Founding Lifetime, Standard Lifetime, renewal, cancellation/failure,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x:v>
      </x:c>
      <x:c r="E41" s="98" t="inlineStr">
        <x:is>
          <x:t xml:space="preserve">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x:t>
        </x:is>
      </x:c>
      <x:c r="F41" s="98" t="inlineStr">
        <x:is>
          <x:t xml:space="preserve">10 min + 110 min</x:t>
        </x:is>
      </x:c>
      <x:c r="G41" s="98" t="inlineStr">
        <x:is>
          <x:t xml:space="preserve">The named legal, payment, Beta, or release check passes, evidence is saved, and no promise conflicts with behaviour.</x:t>
        </x:is>
      </x:c>
      <x:c r="H41" s="99" t="inlineStr">
        <x:is>
          <x:t xml:space="preserve">Yes</x:t>
        </x:is>
      </x:c>
      <x:c r="I41" s="99" t="inlineStr">
        <x:is>
          <x:t xml:space="preserve">Moved</x:t>
        </x:is>
      </x:c>
      <x:c r="J41" s="98" t="inlineStr">
        <x:is>
          <x:t xml:space="preserve">Moved 30 Sep: this day's content is rescheduled on the 'Plan from 1 Oct' sheet.</x:t>
        </x:is>
      </x:c>
    </x:row>
    <x:row r="42" ht="168" customHeight="1">
      <x:c r="A42" s="257" t="n">
        <x:v>46324.5</x:v>
      </x:c>
      <x:c r="B42" s="96" t="inlineStr">
        <x:is>
          <x:t xml:space="preserve">Weekday</x:t>
        </x:is>
      </x:c>
      <x:c r="C42" s="103" t="inlineStr">
        <x:is>
          <x:t xml:space="preserve">Payments &amp; release</x:t>
        </x:is>
      </x:c>
      <x:c r="D42" s="98" t="inlineStr">
        <x:is>
          <x:t xml:space="preserve">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x:t>
        </x:is>
      </x:c>
      <x:c r="E42" s="98" t="inlineStr">
        <x:is>
          <x:t xml:space="preserve">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x:t>
        </x:is>
      </x:c>
      <x:c r="F42" s="98" t="inlineStr">
        <x:is>
          <x:t xml:space="preserve">10 min + 90 min</x:t>
        </x:is>
      </x:c>
      <x:c r="G42" s="98" t="inlineStr">
        <x:is>
          <x:t xml:space="preserve">The named legal, payment, Beta, or release check passes, evidence is saved, and no promise conflicts with behaviour.</x:t>
        </x:is>
      </x:c>
      <x:c r="H42" s="99" t="inlineStr">
        <x:is>
          <x:t xml:space="preserve">Yes</x:t>
        </x:is>
      </x:c>
      <x:c r="I42" s="99" t="inlineStr">
        <x:is>
          <x:t xml:space="preserve">Moved</x:t>
        </x:is>
      </x:c>
      <x:c r="J42" s="98" t="inlineStr">
        <x:is>
          <x:t xml:space="preserve">Moved 30 Sep: this day's content is rescheduled on the 'Plan from 1 Oct' sheet.</x:t>
        </x:is>
      </x:c>
    </x:row>
    <x:row r="43" ht="168" customHeight="1">
      <x:c r="A43" s="257" t="n">
        <x:v>46325.5</x:v>
      </x:c>
      <x:c r="B43" s="96" t="inlineStr">
        <x:is>
          <x:t xml:space="preserve">Weekday</x:t>
        </x:is>
      </x:c>
      <x:c r="C43" s="103" t="inlineStr">
        <x:is>
          <x:t xml:space="preserve">Payments &amp; release</x:t>
        </x:is>
      </x:c>
      <x:c r="D43" s="98" t="inlineStr">
        <x:is>
          <x:t xml:space="preserve">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x:t>
        </x:is>
      </x:c>
      <x:c r="E43" s="98" t="inlineStr">
        <x:is>
          <x:t xml:space="preserve">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x:t>
        </x:is>
      </x:c>
      <x:c r="F43" s="98" t="inlineStr">
        <x:is>
          <x:t xml:space="preserve">10 min + 105 min</x:t>
        </x:is>
      </x:c>
      <x:c r="G43" s="98" t="inlineStr">
        <x:is>
          <x:t xml:space="preserve">The named legal, payment, Beta, or release check passes, evidence is saved, and no promise conflicts with behaviour.</x:t>
        </x:is>
      </x:c>
      <x:c r="H43" s="99" t="inlineStr">
        <x:is>
          <x:t xml:space="preserve">Yes</x:t>
        </x:is>
      </x:c>
      <x:c r="I43" s="99" t="inlineStr">
        <x:is>
          <x:t xml:space="preserve">Not started</x:t>
        </x:is>
      </x:c>
      <x:c r="J43" s="98" t="inlineStr">
        <x:is>
          <x:t xml:space="preserve">Extra roadmap items for this day are on the 'Plan from 1 Oct' sheet.</x:t>
        </x:is>
      </x:c>
    </x:row>
    <x:row r="44" ht="168" customHeight="1">
      <x:c r="A44" s="257" t="n">
        <x:v>46326.5</x:v>
      </x:c>
      <x:c r="B44" s="100" t="inlineStr">
        <x:is>
          <x:t xml:space="preserve">Weekend</x:t>
        </x:is>
      </x:c>
      <x:c r="C44" s="103" t="inlineStr">
        <x:is>
          <x:t xml:space="preserve">Payments &amp; release</x:t>
        </x:is>
      </x:c>
      <x:c r="D44" s="98" t="inlineStr">
        <x:is>
          <x:t xml:space="preserve">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x:t>
        </x:is>
      </x:c>
      <x:c r="E44"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x:t>
        </x:is>
      </x:c>
      <x:c r="F44" s="98" t="inlineStr">
        <x:is>
          <x:t xml:space="preserve">15 min + up to 3 h 45 min</x:t>
        </x:is>
      </x:c>
      <x:c r="G44" s="98" t="inlineStr">
        <x:is>
          <x:t xml:space="preserve">The named legal, payment, Beta, or release check passes, evidence is saved, and no promise conflicts with behaviour.</x:t>
        </x:is>
      </x:c>
      <x:c r="H44" s="99" t="inlineStr">
        <x:is>
          <x:t xml:space="preserve">Yes</x:t>
        </x:is>
      </x:c>
      <x:c r="I44" s="99" t="inlineStr">
        <x:is>
          <x:t xml:space="preserve">Not started</x:t>
        </x:is>
      </x:c>
      <x:c r="J44" s="98" t="inlineStr">
        <x:is>
          <x:t xml:space="preserve">Extra roadmap items for this day are on the 'Plan from 1 Oct' sheet.</x:t>
        </x:is>
      </x:c>
    </x:row>
    <x:row r="45" ht="168" customHeight="1">
      <x:c r="A45" s="257" t="n">
        <x:v>46327.5</x:v>
      </x:c>
      <x:c r="B45" s="100" t="inlineStr">
        <x:is>
          <x:t xml:space="preserve">Weekend</x:t>
        </x:is>
      </x:c>
      <x:c r="C45" s="104" t="inlineStr">
        <x:is>
          <x:t xml:space="preserve">Quiet release</x:t>
        </x:is>
      </x:c>
      <x:c r="D45" s="98" t="inlineStr">
        <x:is>
          <x:t xml:space="preserve">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x:t>
        </x:is>
      </x:c>
      <x:c r="E45" s="98" t="inlineStr">
        <x:is>
          <x: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x:t>
        </x:is>
      </x:c>
      <x:c r="F45" s="98" t="inlineStr">
        <x:is>
          <x:t xml:space="preserve">15 min + up to 3 h 45 min</x:t>
        </x:is>
      </x:c>
      <x:c r="G45" s="98" t="inlineStr">
        <x:is>
          <x:t xml:space="preserve">One real purchase grants the correct access; save and export work; Beta is no longer public; existing testers stay safe; rollback is ready.</x:t>
        </x:is>
      </x:c>
      <x:c r="H45" s="99" t="inlineStr">
        <x:is>
          <x:t xml:space="preserve">Yes</x:t>
        </x:is>
      </x:c>
      <x:c r="I45" s="99" t="inlineStr">
        <x:is>
          <x:t xml:space="preserve">Not started</x:t>
        </x:is>
      </x:c>
      <x:c r="J45" s="98" t="inlineStr">
        <x:is>
          <x:t xml:space="preserve">Extra roadmap items for this day are on the 'Plan from 1 Oct' sheet.</x:t>
        </x:is>
      </x:c>
    </x:row>
    <x:row r="46" ht="168" customHeight="1">
      <x:c r="A46" s="258" t="n">
        <x:v>46328.5</x:v>
      </x:c>
      <x:c r="B46" s="106" t="inlineStr">
        <x:is>
          <x:t xml:space="preserve">Weekday</x:t>
        </x:is>
      </x:c>
      <x:c r="C46" s="107" t="inlineStr">
        <x:is>
          <x:t xml:space="preserve">Public launch</x:t>
        </x:is>
      </x:c>
      <x:c r="D46" s="108" t="inlineStr">
        <x:is>
          <x:t xml:space="preserve">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x:t>
        </x:is>
      </x:c>
      <x:c r="E46" s="108" t="inlineStr">
        <x:is>
          <x:t xml:space="preserve">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x:t>
        </x:is>
      </x:c>
      <x:c r="F46" s="108" t="inlineStr">
        <x:is>
          <x:t xml:space="preserve">10 min + 100 min</x:t>
        </x:is>
      </x:c>
      <x:c r="G46" s="108" t="inlineStr">
        <x:is>
          <x:t xml:space="preserve">Overnight health is clean, approved marketing is live, and payment, entitlement, analytics, and support monitoring are active.</x:t>
        </x:is>
      </x:c>
      <x:c r="H46" s="109" t="inlineStr">
        <x:is>
          <x:t xml:space="preserve">Yes</x:t>
        </x:is>
      </x:c>
      <x:c r="I46" s="109" t="inlineStr">
        <x:is>
          <x:t xml:space="preserve">Not started</x:t>
        </x:is>
      </x:c>
      <x:c r="J46" s="108" t="inlineStr">
        <x:is>
          <x:t xml:space="preserve">Extra roadmap items for this day are on the 'Plan from 1 Oct' sheet.</x:t>
        </x:is>
      </x:c>
    </x:row>
  </x:sheetData>
  <x:mergeCells>
    <x:mergeCell ref="D6:J9"/>
    <x:mergeCell ref="D5:J5"/>
    <x:mergeCell ref="A3:J3"/>
    <x:mergeCell ref="A2:J2"/>
  </x:mergeCells>
  <x:conditionalFormatting sqref="I11:I46">
    <x:cfRule type="containsText" dxfId="0" priority="1" operator="containsText" text="Done"/>
    <x:cfRule type="containsText" dxfId="1" priority="2" operator="containsText" text="In progress"/>
    <x:cfRule type="containsText" dxfId="2" priority="3" operator="containsText" text="Blocked"/>
    <x:cfRule type="containsText" dxfId="3" priority="4" operator="containsText" text="Not started"/>
  </x:conditionalFormatting>
  <x:dataValidations count="1">
    <x:dataValidation type="list" allowBlank="0" showDropDown="0" showInputMessage="0" showErrorMessage="0" sqref="I11:I46">
      <x:formula1>"Not started,In progress,Blocked,Done"</x:formula1>
    </x:dataValidation>
  </x:dataValidations>
  <x:pageMargins left="0.7" right="0.7" top="0.75" bottom="0.75" header="0.3" footer="0.3"/>
  <x:tableParts count="1">
    <x:tablePart xmlns:r="http://schemas.openxmlformats.org/officeDocument/2006/relationships" r:id="R8ce800b184ac45c0"/>
  </x:tableParts>
</x:worksheet>
</file>

<file path=xl/worksheets/sheet5.xml><?xml version="1.0" encoding="utf-8"?>
<x:worksheet xmlns:x="http://schemas.openxmlformats.org/spreadsheetml/2006/main">
  <x:sheetPr>
    <x:tabColor rgb="FF2B7A78"/>
  </x:sheetPr>
  <x:sheetViews>
    <x:sheetView showGridLines="0" workbookViewId="0">
      <x:pane ySplit="3" topLeftCell="A4" activePane="bottomLeft" state="frozen"/>
    </x:sheetView>
  </x:sheetViews>
  <x:sheetFormatPr baseColWidth="8" defaultRowHeight="15"/>
  <x:cols>
    <x:col min="1" max="1" width="13" customWidth="1"/>
    <x:col min="2" max="2" width="13" customWidth="1"/>
    <x:col min="3" max="3" width="13" customWidth="1"/>
    <x:col min="4" max="4" width="13" customWidth="1"/>
    <x:col min="5" max="5" width="13" customWidth="1"/>
    <x:col min="6" max="6" width="13" customWidth="1"/>
    <x:col min="7" max="7" width="13" customWidth="1"/>
    <x:col min="8" max="8" width="13" customWidth="1"/>
    <x:col min="9" max="9" width="13" customWidth="1"/>
    <x:col min="10" max="10" width="13" customWidth="1"/>
    <x:col min="11" max="11" width="13" customWidth="1"/>
    <x:col min="12" max="12" width="13" customWidth="1"/>
    <x:col min="13" max="13" width="13" customWidth="1"/>
    <x:col min="14" max="14" width="13" customWidth="1"/>
  </x:cols>
  <x:sheetData>
    <x:row r="2">
      <x:c r="A2" s="1" t="inlineStr">
        <x:is>
          <x:t xml:space="preserve">SUPERSEDED for 7-29 Oct: use the 'Plan from 1 Oct' sheet. YOW launch calendar — at a glance</x:t>
        </x:is>
      </x:c>
    </x:row>
    <x:row r="3">
      <x:c r="A3" s="2" t="inlineStr">
        <x:is>
          <x:t xml:space="preserve">Weekdays ≤2 hours · weekends ≤4 hours · use Daily Guide for the full prompt and exact instructions</x:t>
        </x:is>
      </x:c>
    </x:row>
    <x:row r="5" ht="24" customHeight="1">
      <x:c r="A5" s="259" t="inlineStr">
        <x:is>
          <x:t xml:space="preserve">Week 1 · 2026-09-28 to 2026-10-04</x:t>
        </x:is>
      </x:c>
      <x:c r="B5" s="260" t="n"/>
      <x:c r="C5" s="260" t="n"/>
      <x:c r="D5" s="260" t="n"/>
      <x:c r="E5" s="260" t="n"/>
      <x:c r="F5" s="260" t="n"/>
      <x:c r="G5" s="260" t="n"/>
      <x:c r="H5" s="260" t="n"/>
      <x:c r="I5" s="260" t="n"/>
      <x:c r="J5" s="260" t="n"/>
      <x:c r="K5" s="260" t="n"/>
      <x:c r="L5" s="260" t="n"/>
      <x:c r="M5" s="260" t="n"/>
      <x:c r="N5" s="261" t="n"/>
    </x:row>
    <x:row r="6" ht="24" customHeight="1">
      <x:c r="A6" s="262" t="inlineStr">
        <x:is>
          <x:t xml:space="preserve">Mon 28 Sept</x:t>
        </x:is>
      </x:c>
      <x:c r="B6" s="261" t="n"/>
      <x:c r="C6" s="262" t="inlineStr">
        <x:is>
          <x:t xml:space="preserve">Tue 29 Sept</x:t>
        </x:is>
      </x:c>
      <x:c r="D6" s="261" t="n"/>
      <x:c r="E6" s="262" t="inlineStr">
        <x:is>
          <x:t xml:space="preserve">Wed 30 Sept</x:t>
        </x:is>
      </x:c>
      <x:c r="F6" s="261" t="n"/>
      <x:c r="G6" s="262" t="inlineStr">
        <x:is>
          <x:t xml:space="preserve">Thu 1 Oct</x:t>
        </x:is>
      </x:c>
      <x:c r="H6" s="261" t="n"/>
      <x:c r="I6" s="262" t="inlineStr">
        <x:is>
          <x:t xml:space="preserve">Fri 2 Oct</x:t>
        </x:is>
      </x:c>
      <x:c r="J6" s="261" t="n"/>
      <x:c r="K6" s="262" t="inlineStr">
        <x:is>
          <x:t xml:space="preserve">Sat 3 Oct</x:t>
        </x:is>
      </x:c>
      <x:c r="L6" s="261" t="n"/>
      <x:c r="M6" s="262" t="inlineStr">
        <x:is>
          <x:t xml:space="preserve">Sun 4 Oct</x:t>
        </x:is>
      </x:c>
      <x:c r="N6" s="261" t="n"/>
    </x:row>
    <x:row r="7" ht="26" customHeight="1">
      <x:c r="A7" s="263" t="inlineStr">
        <x:is>
          <x:t xml:space="preserve">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x:t>
        </x:is>
      </x:c>
      <x:c r="B7" s="236" t="n"/>
      <x:c r="C7" s="263" t="inlineStr">
        <x:is>
          <x:t xml:space="preserve">AM — AI
Finish baseline fixes, rerun all release checks, classify remaining warnings by launch risk, and prepare a safe smoke-test script.
PM / BLOCKS — YOU
Run sign-in → open/create project → write → refresh → export; report exactly what appears.
CAP: 10 min + 90 min</x:t>
        </x:is>
      </x:c>
      <x:c r="D7" s="236" t="n"/>
      <x:c r="E7" s="263" t="inlineStr">
        <x:is>
          <x:t xml:space="preserve">AM — AI
Audit the pending Supabase migrations, production prerequisites, rollback steps, and Security Advisor checks; prepare one-step owner instructions.
PM / BLOCKS — YOU
Open Supabase with Codex guidance, apply only the verified migrations, and record the results.
CAP: 10 min + 90 min</x:t>
        </x:is>
      </x:c>
      <x:c r="F7" s="236" t="n"/>
      <x:c r="G7" s="263" t="inlineStr">
        <x:is>
          <x:t xml:space="preserve">AM — AI
Prepare and monitor the real two-tab scene-concurrency acceptance test; fix any reproducible failure and rerun automated coverage.
PM / BLOCKS — YOU
Perform the guided same-scene two-tab test and review or discard the conflict copy.
CAP: 10 min + 90 min</x:t>
        </x:is>
      </x:c>
      <x:c r="H7" s="236" t="n"/>
      <x:c r="I7" s="263" t="inlineStr">
        <x:is>
          <x:t xml:space="preserve">AM — AI
Prepare the two-account/account-switch entitlement-isolation test and inspect all server-side entitlement paths.
PM / BLOCKS — YOU
Run the guided two-account test using designated test accounts only.
CAP: 10 min + 90 min</x:t>
        </x:is>
      </x:c>
      <x:c r="J7" s="236" t="n"/>
      <x:c r="K7" s="264" t="inlineStr">
        <x:is>
          <x:t xml:space="preserve">AM — AI
Drive the destructive-action, rollback, media, and quota test suite; prepare disposable fixtures and one-step instructions.
PM / BLOCKS — YOU
Test project deletion/restore, account deletion fixture, media replace/delete, and quota accounting in two blocks.
CAP: 15 min + up to 3 h 45 min</x:t>
        </x:is>
      </x:c>
      <x:c r="L7" s="236" t="n"/>
      <x:c r="M7" s="264" t="inlineStr">
        <x:is>
          <x:t xml:space="preserve">AM — AI
Run export/import collision and full-account ownership checks; repair failures and assemble Data Safety Gate evidence.
PM / BLOCKS — YOU
Export, inspect, restore/import, and complete the Data Safety go/no-go review.
CAP: 15 min + up to 3 h 45 min</x:t>
        </x:is>
      </x:c>
      <x:c r="N7" s="236" t="n"/>
    </x:row>
    <x:row r="8" ht="26" customHeight="1">
      <x:c r="A8" s="237" t="n"/>
      <x:c r="B8" s="238" t="n"/>
      <x:c r="C8" s="237" t="n"/>
      <x:c r="D8" s="238" t="n"/>
      <x:c r="E8" s="237" t="n"/>
      <x:c r="F8" s="238" t="n"/>
      <x:c r="G8" s="237" t="n"/>
      <x:c r="H8" s="238" t="n"/>
      <x:c r="I8" s="237" t="n"/>
      <x:c r="J8" s="238" t="n"/>
      <x:c r="K8" s="237" t="n"/>
      <x:c r="L8" s="238" t="n"/>
      <x:c r="M8" s="237" t="n"/>
      <x:c r="N8" s="238" t="n"/>
    </x:row>
    <x:row r="9" ht="26" customHeight="1">
      <x:c r="A9" s="237" t="n"/>
      <x:c r="B9" s="238" t="n"/>
      <x:c r="C9" s="237" t="n"/>
      <x:c r="D9" s="238" t="n"/>
      <x:c r="E9" s="237" t="n"/>
      <x:c r="F9" s="238" t="n"/>
      <x:c r="G9" s="237" t="n"/>
      <x:c r="H9" s="238" t="n"/>
      <x:c r="I9" s="237" t="n"/>
      <x:c r="J9" s="238" t="n"/>
      <x:c r="K9" s="237" t="n"/>
      <x:c r="L9" s="238" t="n"/>
      <x:c r="M9" s="237" t="n"/>
      <x:c r="N9" s="238" t="n"/>
    </x:row>
    <x:row r="10" ht="26" customHeight="1">
      <x:c r="A10" s="237" t="n"/>
      <x:c r="B10" s="238" t="n"/>
      <x:c r="C10" s="237" t="n"/>
      <x:c r="D10" s="238" t="n"/>
      <x:c r="E10" s="237" t="n"/>
      <x:c r="F10" s="238" t="n"/>
      <x:c r="G10" s="237" t="n"/>
      <x:c r="H10" s="238" t="n"/>
      <x:c r="I10" s="237" t="n"/>
      <x:c r="J10" s="238" t="n"/>
      <x:c r="K10" s="237" t="n"/>
      <x:c r="L10" s="238" t="n"/>
      <x:c r="M10" s="237" t="n"/>
      <x:c r="N10" s="238" t="n"/>
    </x:row>
    <x:row r="11" ht="26" customHeight="1">
      <x:c r="A11" s="239" t="n"/>
      <x:c r="B11" s="241" t="n"/>
      <x:c r="C11" s="239" t="n"/>
      <x:c r="D11" s="241" t="n"/>
      <x:c r="E11" s="239" t="n"/>
      <x:c r="F11" s="241" t="n"/>
      <x:c r="G11" s="239" t="n"/>
      <x:c r="H11" s="241" t="n"/>
      <x:c r="I11" s="239" t="n"/>
      <x:c r="J11" s="241" t="n"/>
      <x:c r="K11" s="239" t="n"/>
      <x:c r="L11" s="241" t="n"/>
      <x:c r="M11" s="239" t="n"/>
      <x:c r="N11" s="241" t="n"/>
    </x:row>
    <x:row r="13" ht="24" customHeight="1">
      <x:c r="A13" s="265" t="inlineStr">
        <x:is>
          <x:t xml:space="preserve">Week 2 · 2026-10-05 to 2026-10-11</x:t>
        </x:is>
      </x:c>
      <x:c r="B13" s="260" t="n"/>
      <x:c r="C13" s="260" t="n"/>
      <x:c r="D13" s="260" t="n"/>
      <x:c r="E13" s="260" t="n"/>
      <x:c r="F13" s="260" t="n"/>
      <x:c r="G13" s="260" t="n"/>
      <x:c r="H13" s="260" t="n"/>
      <x:c r="I13" s="260" t="n"/>
      <x:c r="J13" s="260" t="n"/>
      <x:c r="K13" s="260" t="n"/>
      <x:c r="L13" s="260" t="n"/>
      <x:c r="M13" s="260" t="n"/>
      <x:c r="N13" s="261" t="n"/>
    </x:row>
    <x:row r="14" ht="24" customHeight="1">
      <x:c r="A14" s="262" t="inlineStr">
        <x:is>
          <x:t xml:space="preserve">Mon 5 Oct</x:t>
        </x:is>
      </x:c>
      <x:c r="B14" s="261" t="n"/>
      <x:c r="C14" s="262" t="inlineStr">
        <x:is>
          <x:t xml:space="preserve">Tue 6 Oct</x:t>
        </x:is>
      </x:c>
      <x:c r="D14" s="261" t="n"/>
      <x:c r="E14" s="262" t="inlineStr">
        <x:is>
          <x:t xml:space="preserve">Wed 7 Oct</x:t>
        </x:is>
      </x:c>
      <x:c r="F14" s="261" t="n"/>
      <x:c r="G14" s="262" t="inlineStr">
        <x:is>
          <x:t xml:space="preserve">Thu 8 Oct</x:t>
        </x:is>
      </x:c>
      <x:c r="H14" s="261" t="n"/>
      <x:c r="I14" s="262" t="inlineStr">
        <x:is>
          <x:t xml:space="preserve">Fri 9 Oct</x:t>
        </x:is>
      </x:c>
      <x:c r="J14" s="261" t="n"/>
      <x:c r="K14" s="262" t="inlineStr">
        <x:is>
          <x:t xml:space="preserve">Sat 10 Oct</x:t>
        </x:is>
      </x:c>
      <x:c r="L14" s="261" t="n"/>
      <x:c r="M14" s="262" t="inlineStr">
        <x:is>
          <x:t xml:space="preserve">Sun 11 Oct</x:t>
        </x:is>
      </x:c>
      <x:c r="N14" s="261" t="n"/>
    </x:row>
    <x:row r="15" ht="26" customHeight="1">
      <x:c r="A15" s="263" t="inlineStr">
        <x:is>
          <x:t xml:space="preserve">AM — AI
Audit and live-check AI proxy, email endpoints, CORS, durable rate limits, token rejection, and deployed security headers.
PM / BLOCKS — YOU
Follow the safe browser/dashboard checks and record only pass/fail evidence.
CAP: 10 min + 90 min</x:t>
        </x:is>
      </x:c>
      <x:c r="B15" s="236" t="n"/>
      <x:c r="C15" s="263" t="inlineStr">
        <x:is>
          <x:t xml:space="preserve">AM — AI
Complete private-media RLS and storage-accounting verification, including replacement and deletion cleanup.
PM / BLOCKS — YOU
Upload, replace, delete, and verify one disposable image and its storage figure.
CAP: 10 min + 75 min</x:t>
        </x:is>
      </x:c>
      <x:c r="D15" s="236" t="n"/>
      <x:c r="E15" s="263" t="inlineStr">
        <x:is>
          <x:t xml:space="preserve">AM — AI
Finish the cloud-expiry/inactive-account lifecycle implementation and tests: notices, Export All, grace, archive/delete, and cloud-write shutdown.
PM / BLOCKS — YOU
Review the customer-visible sequence and approve the exact wording.
CAP: 10 min + 75 min</x:t>
        </x:is>
      </x:c>
      <x:c r="F15" s="236" t="n"/>
      <x:c r="G15" s="263" t="inlineStr">
        <x:is>
          <x:t xml:space="preserve">AM — AI
Run complete ZIP/DOCX/PDF/World Bible ownership and privacy checks, including expiry access and readable output inspection.
PM / BLOCKS — YOU
Open the generated files and confirm the expected content is present and private data is absent where promised.
CAP: 10 min + 90 min</x:t>
        </x:is>
      </x:c>
      <x:c r="H15" s="236" t="n"/>
      <x:c r="I15" s="263" t="inlineStr">
        <x:is>
          <x:t xml:space="preserve">AM — AI
Retrieve or document the missing production function definitions, close reproducible database-build gaps, and rerun database checks.
PM / BLOCKS — YOU
Provide guided production access only if needed; review the database continuity result.
CAP: 10 min + 60 min</x:t>
        </x:is>
      </x:c>
      <x:c r="J15" s="236" t="n"/>
      <x:c r="K15" s="264" t="inlineStr">
        <x:is>
          <x:t xml:space="preserve">AM — AI
Run the entire data-safety/auth/export matrix and fix failures in priority order.
PM / BLOCKS — YOU
Perform the remaining real-account checks in two focused blocks; stop at four hours.
CAP: 15 min + up to 3 h 45 min</x:t>
        </x:is>
      </x:c>
      <x:c r="L15" s="236" t="n"/>
      <x:c r="M15" s="264" t="inlineStr">
        <x:is>
          <x:t xml:space="preserve">AM — AI
Use the day as the hard-gate repair buffer, rerun the whole matrix, and produce a signed-off evidence summary.
PM / BLOCKS — YOU
Review the summary. Mark the gate Done only if no data-loss/auth/export blocker remains.
CAP: 15 min + up to 3 h 45 min</x:t>
        </x:is>
      </x:c>
      <x:c r="N15" s="236" t="n"/>
    </x:row>
    <x:row r="16" ht="26" customHeight="1">
      <x:c r="A16" s="237" t="n"/>
      <x:c r="B16" s="238" t="n"/>
      <x:c r="C16" s="237" t="n"/>
      <x:c r="D16" s="238" t="n"/>
      <x:c r="E16" s="237" t="n"/>
      <x:c r="F16" s="238" t="n"/>
      <x:c r="G16" s="237" t="n"/>
      <x:c r="H16" s="238" t="n"/>
      <x:c r="I16" s="237" t="n"/>
      <x:c r="J16" s="238" t="n"/>
      <x:c r="K16" s="237" t="n"/>
      <x:c r="L16" s="238" t="n"/>
      <x:c r="M16" s="237" t="n"/>
      <x:c r="N16" s="238" t="n"/>
    </x:row>
    <x:row r="17" ht="26" customHeight="1">
      <x:c r="A17" s="237" t="n"/>
      <x:c r="B17" s="238" t="n"/>
      <x:c r="C17" s="237" t="n"/>
      <x:c r="D17" s="238" t="n"/>
      <x:c r="E17" s="237" t="n"/>
      <x:c r="F17" s="238" t="n"/>
      <x:c r="G17" s="237" t="n"/>
      <x:c r="H17" s="238" t="n"/>
      <x:c r="I17" s="237" t="n"/>
      <x:c r="J17" s="238" t="n"/>
      <x:c r="K17" s="237" t="n"/>
      <x:c r="L17" s="238" t="n"/>
      <x:c r="M17" s="237" t="n"/>
      <x:c r="N17" s="238" t="n"/>
    </x:row>
    <x:row r="18" ht="26" customHeight="1">
      <x:c r="A18" s="237" t="n"/>
      <x:c r="B18" s="238" t="n"/>
      <x:c r="C18" s="237" t="n"/>
      <x:c r="D18" s="238" t="n"/>
      <x:c r="E18" s="237" t="n"/>
      <x:c r="F18" s="238" t="n"/>
      <x:c r="G18" s="237" t="n"/>
      <x:c r="H18" s="238" t="n"/>
      <x:c r="I18" s="237" t="n"/>
      <x:c r="J18" s="238" t="n"/>
      <x:c r="K18" s="237" t="n"/>
      <x:c r="L18" s="238" t="n"/>
      <x:c r="M18" s="237" t="n"/>
      <x:c r="N18" s="238" t="n"/>
    </x:row>
    <x:row r="19" ht="26" customHeight="1">
      <x:c r="A19" s="239" t="n"/>
      <x:c r="B19" s="241" t="n"/>
      <x:c r="C19" s="239" t="n"/>
      <x:c r="D19" s="241" t="n"/>
      <x:c r="E19" s="239" t="n"/>
      <x:c r="F19" s="241" t="n"/>
      <x:c r="G19" s="239" t="n"/>
      <x:c r="H19" s="241" t="n"/>
      <x:c r="I19" s="239" t="n"/>
      <x:c r="J19" s="241" t="n"/>
      <x:c r="K19" s="239" t="n"/>
      <x:c r="L19" s="241" t="n"/>
      <x:c r="M19" s="239" t="n"/>
      <x:c r="N19" s="241" t="n"/>
    </x:row>
    <x:row r="21" ht="24" customHeight="1">
      <x:c r="A21" s="266" t="inlineStr">
        <x:is>
          <x:t xml:space="preserve">Week 3 · 2026-10-12 to 2026-10-18</x:t>
        </x:is>
      </x:c>
      <x:c r="B21" s="260" t="n"/>
      <x:c r="C21" s="260" t="n"/>
      <x:c r="D21" s="260" t="n"/>
      <x:c r="E21" s="260" t="n"/>
      <x:c r="F21" s="260" t="n"/>
      <x:c r="G21" s="260" t="n"/>
      <x:c r="H21" s="260" t="n"/>
      <x:c r="I21" s="260" t="n"/>
      <x:c r="J21" s="260" t="n"/>
      <x:c r="K21" s="260" t="n"/>
      <x:c r="L21" s="260" t="n"/>
      <x:c r="M21" s="260" t="n"/>
      <x:c r="N21" s="261" t="n"/>
    </x:row>
    <x:row r="22" ht="24" customHeight="1">
      <x:c r="A22" s="262" t="inlineStr">
        <x:is>
          <x:t xml:space="preserve">Mon 12 Oct</x:t>
        </x:is>
      </x:c>
      <x:c r="B22" s="261" t="n"/>
      <x:c r="C22" s="262" t="inlineStr">
        <x:is>
          <x:t xml:space="preserve">Tue 13 Oct</x:t>
        </x:is>
      </x:c>
      <x:c r="D22" s="261" t="n"/>
      <x:c r="E22" s="262" t="inlineStr">
        <x:is>
          <x:t xml:space="preserve">Wed 14 Oct</x:t>
        </x:is>
      </x:c>
      <x:c r="F22" s="261" t="n"/>
      <x:c r="G22" s="262" t="inlineStr">
        <x:is>
          <x:t xml:space="preserve">Thu 15 Oct</x:t>
        </x:is>
      </x:c>
      <x:c r="H22" s="261" t="n"/>
      <x:c r="I22" s="262" t="inlineStr">
        <x:is>
          <x:t xml:space="preserve">Fri 16 Oct</x:t>
        </x:is>
      </x:c>
      <x:c r="J22" s="261" t="n"/>
      <x:c r="K22" s="262" t="inlineStr">
        <x:is>
          <x:t xml:space="preserve">Sat 17 Oct</x:t>
        </x:is>
      </x:c>
      <x:c r="L22" s="261" t="n"/>
      <x:c r="M22" s="262" t="inlineStr">
        <x:is>
          <x:t xml:space="preserve">Sun 18 Oct</x:t>
        </x:is>
      </x:c>
      <x:c r="N22" s="261" t="n"/>
    </x:row>
    <x:row r="23" ht="26" customHeight="1">
      <x:c r="A23" s="263" t="inlineStr">
        <x:is>
          <x:t xml:space="preserve">AM — AI
Implement/finish the full signed-in Tauri project workspace and run desktop unit/Rust/build checks.
PM / BLOCKS — YOU
Open the Mac test build and verify login, library, project navigation, and writing.
CAP: 10 min + 100 min</x:t>
        </x:is>
      </x:c>
      <x:c r="B23" s="236" t="n"/>
      <x:c r="C23" s="263" t="inlineStr">
        <x:is>
          <x:t xml:space="preserve">AM — AI
Stress the desktop vault: write-behind durability, quit/force-quit, snapshot, restore, relocation, integrity, and disk-error handling.
PM / BLOCKS — YOU
Run the guided vault persistence and restore test with an isolated test vault.
CAP: 10 min + 100 min</x:t>
        </x:is>
      </x:c>
      <x:c r="D23" s="236" t="n"/>
      <x:c r="E23" s="263" t="inlineStr">
        <x:is>
          <x:t xml:space="preserve">AM — AI
Verify and repair native ZIP/DOCX/PDF/PNG save dialogs and file contents in packaged desktop builds.
PM / BLOCKS — YOU
Save and open each format from the packaged Mac app.
CAP: 10 min + 90 min</x:t>
        </x:is>
      </x:c>
      <x:c r="F23" s="236" t="n"/>
      <x:c r="G23" s="263" t="inlineStr">
        <x:is>
          <x:t xml:space="preserve">AM — AI
Finish Local Mode/lapse/renewal merge logic, cold-start retry, conflict surfacing, and no-cloud-write verification.
PM / BLOCKS — YOU
Run the guided lapse → web edit → renewal → desktop merge scenario.
CAP: 10 min + 100 min</x:t>
        </x:is>
      </x:c>
      <x:c r="H23" s="236" t="n"/>
      <x:c r="I23" s="263" t="inlineStr">
        <x:is>
          <x:t xml:space="preserve">AM — AI
Finalise updater manifests, download entitlement gating, installer URLs, hashes, provenance, and unsigned-app instructions.
PM / BLOCKS — YOU
Review the download page and Mac instructions as a customer.
CAP: 10 min + 75 min</x:t>
        </x:is>
      </x:c>
      <x:c r="J23" s="236" t="n"/>
      <x:c r="K23" s="264" t="inlineStr">
        <x:is>
          <x:t xml:space="preserve">AM — AI
Produce and inspect the final Mac candidate; drive clean-machine install, workspace, export, restore, updater, and uninstall acceptance.
PM / BLOCKS — YOU
Complete the clean/test Mac checklist in two blocks.
CAP: 15 min + up to 3 h 45 min</x:t>
        </x:is>
      </x:c>
      <x:c r="L23" s="236" t="n"/>
      <x:c r="M23" s="264" t="inlineStr">
        <x:is>
          <x:t xml:space="preserve">AM — AI
Produce the Windows candidate in CI and drive Windows clean-machine/WebView2/install/export/updater/uninstall acceptance; close the Desktop Gate.
PM / BLOCKS — YOU
Complete or coordinate the Windows checklist, then review the combined desktop evidence.
CAP: 15 min + up to 3 h 45 min</x:t>
        </x:is>
      </x:c>
      <x:c r="N23" s="236" t="n"/>
    </x:row>
    <x:row r="24" ht="26" customHeight="1">
      <x:c r="A24" s="237" t="n"/>
      <x:c r="B24" s="238" t="n"/>
      <x:c r="C24" s="237" t="n"/>
      <x:c r="D24" s="238" t="n"/>
      <x:c r="E24" s="237" t="n"/>
      <x:c r="F24" s="238" t="n"/>
      <x:c r="G24" s="237" t="n"/>
      <x:c r="H24" s="238" t="n"/>
      <x:c r="I24" s="237" t="n"/>
      <x:c r="J24" s="238" t="n"/>
      <x:c r="K24" s="237" t="n"/>
      <x:c r="L24" s="238" t="n"/>
      <x:c r="M24" s="237" t="n"/>
      <x:c r="N24" s="238" t="n"/>
    </x:row>
    <x:row r="25" ht="26" customHeight="1">
      <x:c r="A25" s="237" t="n"/>
      <x:c r="B25" s="238" t="n"/>
      <x:c r="C25" s="237" t="n"/>
      <x:c r="D25" s="238" t="n"/>
      <x:c r="E25" s="237" t="n"/>
      <x:c r="F25" s="238" t="n"/>
      <x:c r="G25" s="237" t="n"/>
      <x:c r="H25" s="238" t="n"/>
      <x:c r="I25" s="237" t="n"/>
      <x:c r="J25" s="238" t="n"/>
      <x:c r="K25" s="237" t="n"/>
      <x:c r="L25" s="238" t="n"/>
      <x:c r="M25" s="237" t="n"/>
      <x:c r="N25" s="238" t="n"/>
    </x:row>
    <x:row r="26" ht="26" customHeight="1">
      <x:c r="A26" s="237" t="n"/>
      <x:c r="B26" s="238" t="n"/>
      <x:c r="C26" s="237" t="n"/>
      <x:c r="D26" s="238" t="n"/>
      <x:c r="E26" s="237" t="n"/>
      <x:c r="F26" s="238" t="n"/>
      <x:c r="G26" s="237" t="n"/>
      <x:c r="H26" s="238" t="n"/>
      <x:c r="I26" s="237" t="n"/>
      <x:c r="J26" s="238" t="n"/>
      <x:c r="K26" s="237" t="n"/>
      <x:c r="L26" s="238" t="n"/>
      <x:c r="M26" s="237" t="n"/>
      <x:c r="N26" s="238" t="n"/>
    </x:row>
    <x:row r="27" ht="26" customHeight="1">
      <x:c r="A27" s="239" t="n"/>
      <x:c r="B27" s="241" t="n"/>
      <x:c r="C27" s="239" t="n"/>
      <x:c r="D27" s="241" t="n"/>
      <x:c r="E27" s="239" t="n"/>
      <x:c r="F27" s="241" t="n"/>
      <x:c r="G27" s="239" t="n"/>
      <x:c r="H27" s="241" t="n"/>
      <x:c r="I27" s="239" t="n"/>
      <x:c r="J27" s="241" t="n"/>
      <x:c r="K27" s="239" t="n"/>
      <x:c r="L27" s="241" t="n"/>
      <x:c r="M27" s="239" t="n"/>
      <x:c r="N27" s="241" t="n"/>
    </x:row>
    <x:row r="29" ht="24" customHeight="1">
      <x:c r="A29" s="267" t="inlineStr">
        <x:is>
          <x:t xml:space="preserve">Week 4 · 2026-10-19 to 2026-10-25</x:t>
        </x:is>
      </x:c>
      <x:c r="B29" s="260" t="n"/>
      <x:c r="C29" s="260" t="n"/>
      <x:c r="D29" s="260" t="n"/>
      <x:c r="E29" s="260" t="n"/>
      <x:c r="F29" s="260" t="n"/>
      <x:c r="G29" s="260" t="n"/>
      <x:c r="H29" s="260" t="n"/>
      <x:c r="I29" s="260" t="n"/>
      <x:c r="J29" s="260" t="n"/>
      <x:c r="K29" s="260" t="n"/>
      <x:c r="L29" s="260" t="n"/>
      <x:c r="M29" s="260" t="n"/>
      <x:c r="N29" s="261" t="n"/>
    </x:row>
    <x:row r="30" ht="24" customHeight="1">
      <x:c r="A30" s="262" t="inlineStr">
        <x:is>
          <x:t xml:space="preserve">Mon 19 Oct</x:t>
        </x:is>
      </x:c>
      <x:c r="B30" s="261" t="n"/>
      <x:c r="C30" s="262" t="inlineStr">
        <x:is>
          <x:t xml:space="preserve">Tue 20 Oct</x:t>
        </x:is>
      </x:c>
      <x:c r="D30" s="261" t="n"/>
      <x:c r="E30" s="262" t="inlineStr">
        <x:is>
          <x:t xml:space="preserve">Wed 21 Oct</x:t>
        </x:is>
      </x:c>
      <x:c r="F30" s="261" t="n"/>
      <x:c r="G30" s="262" t="inlineStr">
        <x:is>
          <x:t xml:space="preserve">Thu 22 Oct</x:t>
        </x:is>
      </x:c>
      <x:c r="H30" s="261" t="n"/>
      <x:c r="I30" s="262" t="inlineStr">
        <x:is>
          <x:t xml:space="preserve">Fri 23 Oct</x:t>
        </x:is>
      </x:c>
      <x:c r="J30" s="261" t="n"/>
      <x:c r="K30" s="262" t="inlineStr">
        <x:is>
          <x:t xml:space="preserve">Sat 24 Oct</x:t>
        </x:is>
      </x:c>
      <x:c r="L30" s="261" t="n"/>
      <x:c r="M30" s="262" t="inlineStr">
        <x:is>
          <x:t xml:space="preserve">Sun 25 Oct</x:t>
        </x:is>
      </x:c>
      <x:c r="N30" s="261" t="n"/>
    </x:row>
    <x:row r="31" ht="26" customHeight="1">
      <x:c r="A31" s="263" t="inlineStr">
        <x:is>
          <x:t xml:space="preserve">AM — AI
Run and repair complete Novella and Short Story workflow, defaults, persistence, and export acceptance.
PM / BLOCKS — YOU
Perform the two guided create → write → export journeys.
CAP: 10 min + 100 min</x:t>
        </x:is>
      </x:c>
      <x:c r="B31" s="236" t="n"/>
      <x:c r="C31" s="263" t="inlineStr">
        <x:is>
          <x:t xml:space="preserve">AM — AI
Run and repair complete D&amp;D and TTRPG prep/recap, Character Builder, map/default, AI-context, and export acceptance.
PM / BLOCKS — YOU
Perform the two guided campaign journeys using disposable campaigns.
CAP: 10 min + 100 min</x:t>
        </x:is>
      </x:c>
      <x:c r="D31" s="236" t="n"/>
      <x:c r="E31" s="263" t="inlineStr">
        <x:is>
          <x:t xml:space="preserve">AM — AI
Run and repair Novel and Comic live-cloud, large-project, and complete export acceptance.
PM / BLOCKS — YOU
Perform the guided Novel and Comic journeys.
CAP: 10 min + 100 min</x:t>
        </x:is>
      </x:c>
      <x:c r="F31" s="236" t="n"/>
      <x:c r="G31" s="263" t="inlineStr">
        <x:is>
          <x:t xml:space="preserve">AM — AI
Run the full Map Builder owner checklist and repair interaction, layer, persistence, responsive, and export defects.
PM / BLOCKS — YOU
Complete the guided map workflow and inspect its exports.
CAP: 10 min + 100 min</x:t>
        </x:is>
      </x:c>
      <x:c r="H31" s="236" t="n"/>
      <x:c r="I31" s="263" t="inlineStr">
        <x:is>
          <x:t xml:space="preserve">AM — AI
Consolidate remaining Characters, Locations, Lore, Timeline/History, Family/Factions, Series, Schedule, Focused Writing, and AI Import checks.
PM / BLOCKS — YOU
Work through the short owner verification packet; flag only reproducible failures.
CAP: 10 min + 100 min</x:t>
        </x:is>
      </x:c>
      <x:c r="J31" s="236" t="n"/>
      <x:c r="K31" s="264" t="inlineStr">
        <x:is>
          <x:t xml:space="preserve">AM — AI
Run realistic large-project performance plus 375/768/desktop, keyboard, focus, contrast, real-iPhone, and theme acceptance; fix blockers.
PM / BLOCKS — YOU
Complete device/accessibility tests in two focused blocks.
CAP: 15 min + up to 3 h 45 min</x:t>
        </x:is>
      </x:c>
      <x:c r="L31" s="236" t="n"/>
      <x:c r="M31" s="264" t="inlineStr">
        <x:is>
          <x:t xml:space="preserve">AM — AI
Test every advertised AI provider, context grounding, errors/retry, secret isolation, chat persistence/export, then rerun all six project-type exports.
PM / BLOCKS — YOU
Supply provider access without sharing secrets; complete the Product Gate review.
CAP: 15 min + up to 3 h 45 min</x:t>
        </x:is>
      </x:c>
      <x:c r="N31" s="236" t="n"/>
    </x:row>
    <x:row r="32" ht="26" customHeight="1">
      <x:c r="A32" s="237" t="n"/>
      <x:c r="B32" s="238" t="n"/>
      <x:c r="C32" s="237" t="n"/>
      <x:c r="D32" s="238" t="n"/>
      <x:c r="E32" s="237" t="n"/>
      <x:c r="F32" s="238" t="n"/>
      <x:c r="G32" s="237" t="n"/>
      <x:c r="H32" s="238" t="n"/>
      <x:c r="I32" s="237" t="n"/>
      <x:c r="J32" s="238" t="n"/>
      <x:c r="K32" s="237" t="n"/>
      <x:c r="L32" s="238" t="n"/>
      <x:c r="M32" s="237" t="n"/>
      <x:c r="N32" s="238" t="n"/>
    </x:row>
    <x:row r="33" ht="26" customHeight="1">
      <x:c r="A33" s="237" t="n"/>
      <x:c r="B33" s="238" t="n"/>
      <x:c r="C33" s="237" t="n"/>
      <x:c r="D33" s="238" t="n"/>
      <x:c r="E33" s="237" t="n"/>
      <x:c r="F33" s="238" t="n"/>
      <x:c r="G33" s="237" t="n"/>
      <x:c r="H33" s="238" t="n"/>
      <x:c r="I33" s="237" t="n"/>
      <x:c r="J33" s="238" t="n"/>
      <x:c r="K33" s="237" t="n"/>
      <x:c r="L33" s="238" t="n"/>
      <x:c r="M33" s="237" t="n"/>
      <x:c r="N33" s="238" t="n"/>
    </x:row>
    <x:row r="34" ht="26" customHeight="1">
      <x:c r="A34" s="237" t="n"/>
      <x:c r="B34" s="238" t="n"/>
      <x:c r="C34" s="237" t="n"/>
      <x:c r="D34" s="238" t="n"/>
      <x:c r="E34" s="237" t="n"/>
      <x:c r="F34" s="238" t="n"/>
      <x:c r="G34" s="237" t="n"/>
      <x:c r="H34" s="238" t="n"/>
      <x:c r="I34" s="237" t="n"/>
      <x:c r="J34" s="238" t="n"/>
      <x:c r="K34" s="237" t="n"/>
      <x:c r="L34" s="238" t="n"/>
      <x:c r="M34" s="237" t="n"/>
      <x:c r="N34" s="238" t="n"/>
    </x:row>
    <x:row r="35" ht="26" customHeight="1">
      <x:c r="A35" s="239" t="n"/>
      <x:c r="B35" s="241" t="n"/>
      <x:c r="C35" s="239" t="n"/>
      <x:c r="D35" s="241" t="n"/>
      <x:c r="E35" s="239" t="n"/>
      <x:c r="F35" s="241" t="n"/>
      <x:c r="G35" s="239" t="n"/>
      <x:c r="H35" s="241" t="n"/>
      <x:c r="I35" s="239" t="n"/>
      <x:c r="J35" s="241" t="n"/>
      <x:c r="K35" s="239" t="n"/>
      <x:c r="L35" s="241" t="n"/>
      <x:c r="M35" s="239" t="n"/>
      <x:c r="N35" s="241" t="n"/>
    </x:row>
    <x:row r="37" ht="24" customHeight="1">
      <x:c r="A37" s="268" t="inlineStr">
        <x:is>
          <x:t xml:space="preserve">Week 5 · 2026-10-26 to 2026-11-01</x:t>
        </x:is>
      </x:c>
      <x:c r="B37" s="260" t="n"/>
      <x:c r="C37" s="260" t="n"/>
      <x:c r="D37" s="260" t="n"/>
      <x:c r="E37" s="260" t="n"/>
      <x:c r="F37" s="260" t="n"/>
      <x:c r="G37" s="260" t="n"/>
      <x:c r="H37" s="260" t="n"/>
      <x:c r="I37" s="260" t="n"/>
      <x:c r="J37" s="260" t="n"/>
      <x:c r="K37" s="260" t="n"/>
      <x:c r="L37" s="260" t="n"/>
      <x:c r="M37" s="260" t="n"/>
      <x:c r="N37" s="261" t="n"/>
    </x:row>
    <x:row r="38" ht="24" customHeight="1">
      <x:c r="A38" s="262" t="inlineStr">
        <x:is>
          <x:t xml:space="preserve">Mon 26 Oct</x:t>
        </x:is>
      </x:c>
      <x:c r="B38" s="261" t="n"/>
      <x:c r="C38" s="262" t="inlineStr">
        <x:is>
          <x:t xml:space="preserve">Tue 27 Oct</x:t>
        </x:is>
      </x:c>
      <x:c r="D38" s="261" t="n"/>
      <x:c r="E38" s="262" t="inlineStr">
        <x:is>
          <x:t xml:space="preserve">Wed 28 Oct</x:t>
        </x:is>
      </x:c>
      <x:c r="F38" s="261" t="n"/>
      <x:c r="G38" s="262" t="inlineStr">
        <x:is>
          <x:t xml:space="preserve">Thu 29 Oct</x:t>
        </x:is>
      </x:c>
      <x:c r="H38" s="261" t="n"/>
      <x:c r="I38" s="262" t="inlineStr">
        <x:is>
          <x:t xml:space="preserve">Fri 30 Oct</x:t>
        </x:is>
      </x:c>
      <x:c r="J38" s="261" t="n"/>
      <x:c r="K38" s="262" t="inlineStr">
        <x:is>
          <x:t xml:space="preserve">Sat 31 Oct</x:t>
        </x:is>
      </x:c>
      <x:c r="L38" s="261" t="n"/>
      <x:c r="M38" s="262" t="inlineStr">
        <x:is>
          <x:t xml:space="preserve">Sun 1 Nov</x:t>
        </x:is>
      </x:c>
      <x:c r="N38" s="261" t="n"/>
    </x:row>
    <x:row r="39" ht="26" customHeight="1">
      <x:c r="A39" s="263" t="inlineStr">
        <x:is>
          <x:t xml:space="preserve">AM — AI
Reconcile Pricing, FAQ, Terms, Privacy, cancellation, storage, Local Mode, expiry, Founder, AI, export, SEO, and marketing promises.
PM / BLOCKS — YOU
Read the plain-English change packet and approve or correct the final customer promises.
CAP: 10 min + 100 min</x:t>
        </x:is>
      </x:c>
      <x:c r="B39" s="236" t="n"/>
      <x:c r="C39" s="263" t="inlineStr">
        <x:is>
          <x:t xml:space="preserve">AM — AI
Audit Stripe configuration, webhook idempotency, entitlement fulfilment, refunds/disputes, Founder allocation, and the test-mode runbook.
PM / BLOCKS — YOU
Open Stripe/Supabase only when guided and confirm the displayed test configuration.
CAP: 10 min + 90 min</x:t>
        </x:is>
      </x:c>
      <x:c r="D39" s="236" t="n"/>
      <x:c r="E39" s="263" t="str">
        <x:v>AM — AI
Drive the full Stripe test-mode journey one step at a time: Monthly, Founding Lifetime, Standard Lifetime, renewal, cancellation/failure, replay, refund, and dispute.
PM / BLOCKS — YOU
Complete guided test payments and verify app access after each event.
CAP: 10 min + 110 min</x:v>
      </x:c>
      <x:c r="F39" s="236" t="n"/>
      <x:c r="G39" s="263" t="inlineStr">
        <x:is>
          <x:t xml:space="preserve">AM — AI
Prepare the reversible Beta-closure/migration operation, final website copy, screenshots, launch post, ads, support replies, and analytics checks without publishing.
PM / BLOCKS — YOU
Approve the prepared launch assets and Beta transition wording; publish nothing.
CAP: 10 min + 90 min</x:t>
        </x:is>
      </x:c>
      <x:c r="H39" s="236" t="n"/>
      <x:c r="I39" s="263" t="inlineStr">
        <x:is>
          <x:t xml:space="preserve">AM — AI
Freeze Release Candidate 1; run full automated/browser/Rust/build/security/marketing checks and produce the final go/no-go packet.
PM / BLOCKS — YOU
Perform one 60-minute customer smoke test and make the formal go/no-go decision.
CAP: 10 min + 105 min</x:t>
        </x:is>
      </x:c>
      <x:c r="J39" s="236" t="n"/>
      <x:c r="K39" s="264" t="inlineStr">
        <x:is>
          <x:t xml:space="preserve">AM — AI
Repair only launch blockers, rerun the full gate, take backups, verify rollback/checkout-disable/support procedures, and rehearse the exact production release.
PM / BLOCKS — YOU
Complete the full launch rehearsal in two blocks; checkout remains off.
CAP: 15 min + up to 3 h 45 min</x:t>
        </x:is>
      </x:c>
      <x:c r="L39" s="236" t="n"/>
      <x:c r="M39" s="264" t="inlineStr">
        <x:is>
          <x:t xml:space="preserve">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x:t>
        </x:is>
      </x:c>
      <x:c r="N39" s="236" t="n"/>
    </x:row>
    <x:row r="40" ht="26" customHeight="1">
      <x:c r="A40" s="237" t="n"/>
      <x:c r="B40" s="238" t="n"/>
      <x:c r="C40" s="237" t="n"/>
      <x:c r="D40" s="238" t="n"/>
      <x:c r="E40" s="237" t="n"/>
      <x:c r="F40" s="238" t="n"/>
      <x:c r="G40" s="237" t="n"/>
      <x:c r="H40" s="238" t="n"/>
      <x:c r="I40" s="237" t="n"/>
      <x:c r="J40" s="238" t="n"/>
      <x:c r="K40" s="237" t="n"/>
      <x:c r="L40" s="238" t="n"/>
      <x:c r="M40" s="237" t="n"/>
      <x:c r="N40" s="238" t="n"/>
    </x:row>
    <x:row r="41" ht="26" customHeight="1">
      <x:c r="A41" s="237" t="n"/>
      <x:c r="B41" s="238" t="n"/>
      <x:c r="C41" s="237" t="n"/>
      <x:c r="D41" s="238" t="n"/>
      <x:c r="E41" s="237" t="n"/>
      <x:c r="F41" s="238" t="n"/>
      <x:c r="G41" s="237" t="n"/>
      <x:c r="H41" s="238" t="n"/>
      <x:c r="I41" s="237" t="n"/>
      <x:c r="J41" s="238" t="n"/>
      <x:c r="K41" s="237" t="n"/>
      <x:c r="L41" s="238" t="n"/>
      <x:c r="M41" s="237" t="n"/>
      <x:c r="N41" s="238" t="n"/>
    </x:row>
    <x:row r="42" ht="26" customHeight="1">
      <x:c r="A42" s="237" t="n"/>
      <x:c r="B42" s="238" t="n"/>
      <x:c r="C42" s="237" t="n"/>
      <x:c r="D42" s="238" t="n"/>
      <x:c r="E42" s="237" t="n"/>
      <x:c r="F42" s="238" t="n"/>
      <x:c r="G42" s="237" t="n"/>
      <x:c r="H42" s="238" t="n"/>
      <x:c r="I42" s="237" t="n"/>
      <x:c r="J42" s="238" t="n"/>
      <x:c r="K42" s="237" t="n"/>
      <x:c r="L42" s="238" t="n"/>
      <x:c r="M42" s="237" t="n"/>
      <x:c r="N42" s="238" t="n"/>
    </x:row>
    <x:row r="43" ht="26" customHeight="1">
      <x:c r="A43" s="239" t="n"/>
      <x:c r="B43" s="241" t="n"/>
      <x:c r="C43" s="239" t="n"/>
      <x:c r="D43" s="241" t="n"/>
      <x:c r="E43" s="239" t="n"/>
      <x:c r="F43" s="241" t="n"/>
      <x:c r="G43" s="239" t="n"/>
      <x:c r="H43" s="241" t="n"/>
      <x:c r="I43" s="239" t="n"/>
      <x:c r="J43" s="241" t="n"/>
      <x:c r="K43" s="239" t="n"/>
      <x:c r="L43" s="241" t="n"/>
      <x:c r="M43" s="239" t="n"/>
      <x:c r="N43" s="241" t="n"/>
    </x:row>
    <x:row r="45" ht="24" customHeight="1">
      <x:c r="A45" s="269" t="inlineStr">
        <x:is>
          <x:t xml:space="preserve">Week 6 · 2026-11-02 to 2026-11-02</x:t>
        </x:is>
      </x:c>
      <x:c r="B45" s="260" t="n"/>
      <x:c r="C45" s="260" t="n"/>
      <x:c r="D45" s="260" t="n"/>
      <x:c r="E45" s="260" t="n"/>
      <x:c r="F45" s="260" t="n"/>
      <x:c r="G45" s="260" t="n"/>
      <x:c r="H45" s="260" t="n"/>
      <x:c r="I45" s="260" t="n"/>
      <x:c r="J45" s="260" t="n"/>
      <x:c r="K45" s="260" t="n"/>
      <x:c r="L45" s="260" t="n"/>
      <x:c r="M45" s="260" t="n"/>
      <x:c r="N45" s="261" t="n"/>
    </x:row>
    <x:row r="46" ht="24" customHeight="1">
      <x:c r="A46" s="262" t="inlineStr">
        <x:is>
          <x:t xml:space="preserve">Mon 2 Nov</x:t>
        </x:is>
      </x:c>
      <x:c r="B46" s="261" t="n"/>
      <x:c r="C46" s="262" t="n"/>
      <x:c r="D46" s="261" t="n"/>
      <x:c r="E46" s="262" t="n"/>
      <x:c r="F46" s="261" t="n"/>
      <x:c r="G46" s="262" t="n"/>
      <x:c r="H46" s="261" t="n"/>
      <x:c r="I46" s="262" t="n"/>
      <x:c r="J46" s="261" t="n"/>
      <x:c r="K46" s="262" t="n"/>
      <x:c r="L46" s="261" t="n"/>
      <x:c r="M46" s="262" t="n"/>
      <x:c r="N46" s="261" t="n"/>
    </x:row>
    <x:row r="47" ht="26" customHeight="1">
      <x:c r="A47" s="263" t="inlineStr">
        <x:is>
          <x:t xml:space="preserve">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x:t>
        </x:is>
      </x:c>
      <x:c r="B47" s="236" t="n"/>
      <x:c r="C47" s="270" t="n"/>
      <x:c r="D47" s="236" t="n"/>
      <x:c r="E47" s="270" t="n"/>
      <x:c r="F47" s="236" t="n"/>
      <x:c r="G47" s="270" t="n"/>
      <x:c r="H47" s="236" t="n"/>
      <x:c r="I47" s="270" t="n"/>
      <x:c r="J47" s="236" t="n"/>
      <x:c r="K47" s="270" t="n"/>
      <x:c r="L47" s="236" t="n"/>
      <x:c r="M47" s="270" t="n"/>
      <x:c r="N47" s="236" t="n"/>
    </x:row>
    <x:row r="48" ht="26" customHeight="1">
      <x:c r="A48" s="237" t="n"/>
      <x:c r="B48" s="238" t="n"/>
      <x:c r="C48" s="237" t="n"/>
      <x:c r="D48" s="238" t="n"/>
      <x:c r="E48" s="237" t="n"/>
      <x:c r="F48" s="238" t="n"/>
      <x:c r="G48" s="237" t="n"/>
      <x:c r="H48" s="238" t="n"/>
      <x:c r="I48" s="237" t="n"/>
      <x:c r="J48" s="238" t="n"/>
      <x:c r="K48" s="237" t="n"/>
      <x:c r="L48" s="238" t="n"/>
      <x:c r="M48" s="237" t="n"/>
      <x:c r="N48" s="238" t="n"/>
    </x:row>
    <x:row r="49" ht="26" customHeight="1">
      <x:c r="A49" s="237" t="n"/>
      <x:c r="B49" s="238" t="n"/>
      <x:c r="C49" s="237" t="n"/>
      <x:c r="D49" s="238" t="n"/>
      <x:c r="E49" s="237" t="n"/>
      <x:c r="F49" s="238" t="n"/>
      <x:c r="G49" s="237" t="n"/>
      <x:c r="H49" s="238" t="n"/>
      <x:c r="I49" s="237" t="n"/>
      <x:c r="J49" s="238" t="n"/>
      <x:c r="K49" s="237" t="n"/>
      <x:c r="L49" s="238" t="n"/>
      <x:c r="M49" s="237" t="n"/>
      <x:c r="N49" s="238" t="n"/>
    </x:row>
    <x:row r="50" ht="26" customHeight="1">
      <x:c r="A50" s="237" t="n"/>
      <x:c r="B50" s="238" t="n"/>
      <x:c r="C50" s="237" t="n"/>
      <x:c r="D50" s="238" t="n"/>
      <x:c r="E50" s="237" t="n"/>
      <x:c r="F50" s="238" t="n"/>
      <x:c r="G50" s="237" t="n"/>
      <x:c r="H50" s="238" t="n"/>
      <x:c r="I50" s="237" t="n"/>
      <x:c r="J50" s="238" t="n"/>
      <x:c r="K50" s="237" t="n"/>
      <x:c r="L50" s="238" t="n"/>
      <x:c r="M50" s="237" t="n"/>
      <x:c r="N50" s="238" t="n"/>
    </x:row>
    <x:row r="51" ht="26" customHeight="1">
      <x:c r="A51" s="239" t="n"/>
      <x:c r="B51" s="241" t="n"/>
      <x:c r="C51" s="239" t="n"/>
      <x:c r="D51" s="241" t="n"/>
      <x:c r="E51" s="239" t="n"/>
      <x:c r="F51" s="241" t="n"/>
      <x:c r="G51" s="239" t="n"/>
      <x:c r="H51" s="241" t="n"/>
      <x:c r="I51" s="239" t="n"/>
      <x:c r="J51" s="241" t="n"/>
      <x:c r="K51" s="239" t="n"/>
      <x:c r="L51" s="241" t="n"/>
      <x:c r="M51" s="239" t="n"/>
      <x:c r="N51" s="241" t="n"/>
    </x:row>
  </x:sheetData>
  <x:mergeCells>
    <x:mergeCell ref="M47:N51"/>
    <x:mergeCell ref="C6:D6"/>
    <x:mergeCell ref="K15:L19"/>
    <x:mergeCell ref="C15:D19"/>
    <x:mergeCell ref="A45:N45"/>
    <x:mergeCell ref="A39:B43"/>
    <x:mergeCell ref="I15:J19"/>
    <x:mergeCell ref="G7:H11"/>
    <x:mergeCell ref="I7:J11"/>
    <x:mergeCell ref="A7:B11"/>
    <x:mergeCell ref="A37:N37"/>
    <x:mergeCell ref="C47:D51"/>
    <x:mergeCell ref="A22:B22"/>
    <x:mergeCell ref="M7:N11"/>
    <x:mergeCell ref="E22:F22"/>
    <x:mergeCell ref="G22:H22"/>
    <x:mergeCell ref="I30:J30"/>
    <x:mergeCell ref="A30:B30"/>
    <x:mergeCell ref="K30:L30"/>
    <x:mergeCell ref="I6:J6"/>
    <x:mergeCell ref="C30:D30"/>
    <x:mergeCell ref="I46:J46"/>
    <x:mergeCell ref="C14:D14"/>
    <x:mergeCell ref="E14:F14"/>
    <x:mergeCell ref="E38:F38"/>
    <x:mergeCell ref="G38:H38"/>
    <x:mergeCell ref="A46:B46"/>
    <x:mergeCell ref="M39:N43"/>
    <x:mergeCell ref="E39:F43"/>
    <x:mergeCell ref="G39:H43"/>
    <x:mergeCell ref="I47:J51"/>
    <x:mergeCell ref="A3:N3"/>
    <x:mergeCell ref="K47:L51"/>
    <x:mergeCell ref="A21:N21"/>
    <x:mergeCell ref="G15:H19"/>
    <x:mergeCell ref="K31:L35"/>
    <x:mergeCell ref="C31:D35"/>
    <x:mergeCell ref="M31:N35"/>
    <x:mergeCell ref="A5:N5"/>
    <x:mergeCell ref="E31:F35"/>
    <x:mergeCell ref="E15:F19"/>
    <x:mergeCell ref="E7:F11"/>
    <x:mergeCell ref="I23:J27"/>
    <x:mergeCell ref="A23:B27"/>
    <x:mergeCell ref="K23:L27"/>
    <x:mergeCell ref="C23:D27"/>
    <x:mergeCell ref="K6:L6"/>
    <x:mergeCell ref="C7:D11"/>
    <x:mergeCell ref="C22:D22"/>
    <x:mergeCell ref="K46:L46"/>
    <x:mergeCell ref="E6:F6"/>
    <x:mergeCell ref="C46:D46"/>
    <x:mergeCell ref="E46:F46"/>
    <x:mergeCell ref="A2:N2"/>
    <x:mergeCell ref="M15:N19"/>
    <x:mergeCell ref="A14:B14"/>
    <x:mergeCell ref="A38:B38"/>
    <x:mergeCell ref="C38:D38"/>
    <x:mergeCell ref="A47:B51"/>
    <x:mergeCell ref="M38:N38"/>
    <x:mergeCell ref="K7:L11"/>
    <x:mergeCell ref="A29:N29"/>
    <x:mergeCell ref="K39:L43"/>
    <x:mergeCell ref="C39:D43"/>
    <x:mergeCell ref="A13:N13"/>
    <x:mergeCell ref="E47:F51"/>
    <x:mergeCell ref="G47:H51"/>
    <x:mergeCell ref="M23:N27"/>
    <x:mergeCell ref="G31:H35"/>
    <x:mergeCell ref="I31:J35"/>
    <x:mergeCell ref="A31:B35"/>
    <x:mergeCell ref="A6:B6"/>
    <x:mergeCell ref="A15:B19"/>
    <x:mergeCell ref="E23:F27"/>
    <x:mergeCell ref="G23:H27"/>
    <x:mergeCell ref="G6:H6"/>
    <x:mergeCell ref="I22:J22"/>
    <x:mergeCell ref="K22:L22"/>
    <x:mergeCell ref="M22:N22"/>
    <x:mergeCell ref="M30:N30"/>
    <x:mergeCell ref="E30:F30"/>
    <x:mergeCell ref="M6:N6"/>
    <x:mergeCell ref="G30:H30"/>
    <x:mergeCell ref="M46:N46"/>
    <x:mergeCell ref="G14:H14"/>
    <x:mergeCell ref="I14:J14"/>
    <x:mergeCell ref="K14:L14"/>
    <x:mergeCell ref="I38:J38"/>
    <x:mergeCell ref="K38:L38"/>
    <x:mergeCell ref="M14:N14"/>
    <x:mergeCell ref="G46:H46"/>
    <x:mergeCell ref="I39:J43"/>
  </x:mergeCells>
  <x:pageMargins left="0.7" right="0.7" top="0.75" bottom="0.75" header="0.3" footer="0.3"/>
</x:worksheet>
</file>

<file path=xl/worksheets/sheet6.xml><?xml version="1.0" encoding="utf-8"?>
<x:worksheet xmlns:x="http://schemas.openxmlformats.org/spreadsheetml/2006/main">
  <x:sheetPr>
    <x:tabColor rgb="FF7B8794"/>
  </x:sheetPr>
  <x:sheetViews>
    <x:sheetView showGridLines="0" workbookViewId="0">
      <x:pane ySplit="5" topLeftCell="A6" activePane="bottomLeft" state="frozen"/>
    </x:sheetView>
  </x:sheetViews>
  <x:sheetFormatPr baseColWidth="8" defaultRowHeight="15"/>
  <x:cols>
    <x:col min="1" max="1" width="25" customWidth="1"/>
    <x:col min="2" max="2" width="65" customWidth="1"/>
    <x:col min="3" max="3" width="65" customWidth="1"/>
  </x:cols>
  <x:sheetData>
    <x:row r="2">
      <x:c r="A2" s="1" t="inlineStr">
        <x:is>
          <x:t xml:space="preserve">Plain-English glossary</x:t>
        </x:is>
      </x:c>
    </x:row>
    <x:row r="3">
      <x:c r="A3" s="2" t="inlineStr">
        <x:is>
          <x:t xml:space="preserve">You are not expected to memorise these words. Look here whenever the plan uses one you do not know.</x:t>
        </x:is>
      </x:c>
    </x:row>
    <x:row r="5">
      <x:c r="A5" s="225" t="inlineStr">
        <x:is>
          <x:t xml:space="preserve">Term</x:t>
        </x:is>
      </x:c>
      <x:c r="B5" s="225" t="inlineStr">
        <x:is>
          <x:t xml:space="preserve">What it means</x:t>
        </x:is>
      </x:c>
      <x:c r="C5" s="225" t="inlineStr">
        <x:is>
          <x:t xml:space="preserve">Why you care</x:t>
        </x:is>
      </x:c>
    </x:row>
    <x:row r="6" ht="48" customHeight="1">
      <x:c r="A6" s="232" t="inlineStr">
        <x:is>
          <x:t xml:space="preserve">AI handoff</x:t>
        </x:is>
      </x:c>
      <x:c r="B6" s="232" t="inlineStr">
        <x:is>
          <x:t xml:space="preserve">The morning prompt pasted into Codex so it can do technical work while you are unavailable.</x:t>
        </x:is>
      </x:c>
      <x:c r="C6" s="232" t="inlineStr">
        <x:is>
          <x:t xml:space="preserve">It turns a few morning minutes into a prepared evening test.</x:t>
        </x:is>
      </x:c>
    </x:row>
    <x:row r="7" ht="48" customHeight="1">
      <x:c r="A7" s="98" t="inlineStr">
        <x:is>
          <x:t xml:space="preserve">Scope freeze</x:t>
        </x:is>
      </x:c>
      <x:c r="B7" s="98" t="inlineStr">
        <x:is>
          <x:t xml:space="preserve">No new launch features; only work needed to make the agreed product safe and honest.</x:t>
        </x:is>
      </x:c>
      <x:c r="C7" s="98" t="inlineStr">
        <x:is>
          <x:t xml:space="preserve">It protects the target from nonessential ideas.</x:t>
        </x:is>
      </x:c>
    </x:row>
    <x:row r="8" ht="48" customHeight="1">
      <x:c r="A8" s="98" t="inlineStr">
        <x:is>
          <x:t xml:space="preserve">QA</x:t>
        </x:is>
      </x:c>
      <x:c r="B8" s="98" t="inlineStr">
        <x:is>
          <x:t xml:space="preserve">Deliberately testing the product and recording what passed or failed.</x:t>
        </x:is>
      </x:c>
      <x:c r="C8" s="98" t="inlineStr">
        <x:is>
          <x:t xml:space="preserve">It prevents customers discovering serious problems after paying.</x:t>
        </x:is>
      </x:c>
    </x:row>
    <x:row r="9" ht="48" customHeight="1">
      <x:c r="A9" s="98" t="inlineStr">
        <x:is>
          <x:t xml:space="preserve">Smoke test</x:t>
        </x:is>
      </x:c>
      <x:c r="B9" s="98" t="inlineStr">
        <x:is>
          <x:t xml:space="preserve">A short critical-path test: sign in, open, write, save, and export.</x:t>
        </x:is>
      </x:c>
      <x:c r="C9" s="98" t="inlineStr">
        <x:is>
          <x:t xml:space="preserve">If it fails, deeper work pauses until basics are repaired.</x:t>
        </x:is>
      </x:c>
    </x:row>
    <x:row r="10" ht="48" customHeight="1">
      <x:c r="A10" s="98" t="inlineStr">
        <x:is>
          <x:t xml:space="preserve">Production</x:t>
        </x:is>
      </x:c>
      <x:c r="B10" s="98" t="inlineStr">
        <x:is>
          <x:t xml:space="preserve">The live YOW service and real customer data.</x:t>
        </x:is>
      </x:c>
      <x:c r="C10" s="98" t="inlineStr">
        <x:is>
          <x:t xml:space="preserve">Actions here can affect real people.</x:t>
        </x:is>
      </x:c>
    </x:row>
    <x:row r="11" ht="48" customHeight="1">
      <x:c r="A11" s="98" t="inlineStr">
        <x:is>
          <x:t xml:space="preserve">Database migration</x:t>
        </x:is>
      </x:c>
      <x:c r="B11" s="98" t="inlineStr">
        <x:is>
          <x:t xml:space="preserve">A versioned instruction changing database structure, functions, or security rules.</x:t>
        </x:is>
      </x:c>
      <x:c r="C11" s="98" t="inlineStr">
        <x:is>
          <x:t xml:space="preserve">It must be verified and reversible.</x:t>
        </x:is>
      </x:c>
    </x:row>
    <x:row r="12" ht="48" customHeight="1">
      <x:c r="A12" s="98" t="inlineStr">
        <x:is>
          <x:t xml:space="preserve">RLS</x:t>
        </x:is>
      </x:c>
      <x:c r="B12" s="98" t="inlineStr">
        <x:is>
          <x:t xml:space="preserve">Database rules deciding which user may read or change each row.</x:t>
        </x:is>
      </x:c>
      <x:c r="C12" s="98" t="inlineStr">
        <x:is>
          <x:t xml:space="preserve">It prevents customers seeing each other's data.</x:t>
        </x:is>
      </x:c>
    </x:row>
    <x:row r="13" ht="48" customHeight="1">
      <x:c r="A13" s="98" t="inlineStr">
        <x:is>
          <x:t xml:space="preserve">Stripe test mode</x:t>
        </x:is>
      </x:c>
      <x:c r="B13" s="98" t="inlineStr">
        <x:is>
          <x:t xml:space="preserve">A safe Stripe environment using pretend cards and no real money.</x:t>
        </x:is>
      </x:c>
      <x:c r="C13" s="98" t="inlineStr">
        <x:is>
          <x:t xml:space="preserve">Payment behaviour must pass here before checkout is live.</x:t>
        </x:is>
      </x:c>
    </x:row>
    <x:row r="14" ht="48" customHeight="1">
      <x:c r="A14" s="98" t="inlineStr">
        <x:is>
          <x:t xml:space="preserve">Webhook</x:t>
        </x:is>
      </x:c>
      <x:c r="B14" s="98" t="inlineStr">
        <x:is>
          <x:t xml:space="preserve">A signed message Stripe sends YOW after a payment event.</x:t>
        </x:is>
      </x:c>
      <x:c r="C14" s="98" t="inlineStr">
        <x:is>
          <x:t xml:space="preserve">It changes paid access.</x:t>
        </x:is>
      </x:c>
    </x:row>
    <x:row r="15" ht="48" customHeight="1">
      <x:c r="A15" s="98" t="inlineStr">
        <x:is>
          <x:t xml:space="preserve">Entitlement</x:t>
        </x:is>
      </x:c>
      <x:c r="B15" s="98" t="inlineStr">
        <x:is>
          <x:t xml:space="preserve">The server-controlled record of features a plan allows.</x:t>
        </x:is>
      </x:c>
      <x:c r="C15" s="98" t="inlineStr">
        <x:is>
          <x:t xml:space="preserve">Customers receive exactly what they paid for.</x:t>
        </x:is>
      </x:c>
    </x:row>
    <x:row r="16" ht="48" customHeight="1">
      <x:c r="A16" s="98" t="inlineStr">
        <x:is>
          <x:t xml:space="preserve">Release candidate</x:t>
        </x:is>
      </x:c>
      <x:c r="B16" s="98" t="inlineStr">
        <x:is>
          <x:t xml:space="preserve">The exact build proposed for launch after feature work stops.</x:t>
        </x:is>
      </x:c>
      <x:c r="C16" s="98" t="inlineStr">
        <x:is>
          <x:t xml:space="preserve">Only blockers should alter it.</x:t>
        </x:is>
      </x:c>
    </x:row>
    <x:row r="17" ht="48" customHeight="1">
      <x:c r="A17" s="98" t="inlineStr">
        <x:is>
          <x:t xml:space="preserve">Hard gate</x:t>
        </x:is>
      </x:c>
      <x:c r="B17" s="98" t="inlineStr">
        <x:is>
          <x:t xml:space="preserve">A safety or business check that must pass before launch proceeds.</x:t>
        </x:is>
      </x:c>
      <x:c r="C17" s="98" t="inlineStr">
        <x:is>
          <x:t xml:space="preserve">Failure moves the date; it is never skipped.</x:t>
        </x:is>
      </x:c>
    </x:row>
    <x:row r="18" ht="48" customHeight="1">
      <x:c r="A18" s="98" t="inlineStr">
        <x:is>
          <x:t xml:space="preserve">Rollback</x:t>
        </x:is>
      </x:c>
      <x:c r="B18" s="98" t="inlineStr">
        <x:is>
          <x:t xml:space="preserve">Return production to its previous known-good version.</x:t>
        </x:is>
      </x:c>
      <x:c r="C18" s="98" t="inlineStr">
        <x:is>
          <x:t xml:space="preserve">It is the safe exit when launch differs from rehearsal.</x:t>
        </x:is>
      </x:c>
    </x:row>
    <x:row r="19" ht="48" customHeight="1">
      <x:c r="A19" s="98" t="inlineStr">
        <x:is>
          <x:t xml:space="preserve">Quiet release</x:t>
        </x:is>
      </x:c>
      <x:c r="B19" s="98" t="inlineStr">
        <x:is>
          <x:t xml:space="preserve">Checkout is live but ads are not; one real purchase proves the full path.</x:t>
        </x:is>
      </x:c>
      <x:c r="C19" s="98" t="inlineStr">
        <x:is>
          <x:t xml:space="preserve">It catches production-only problems before traffic arrives.</x:t>
        </x:is>
      </x:c>
    </x:row>
    <x:row r="20" ht="48" customHeight="1">
      <x:c r="A20" s="98" t="inlineStr">
        <x:is>
          <x:t xml:space="preserve">Public launch</x:t>
        </x:is>
      </x:c>
      <x:c r="B20" s="98" t="inlineStr">
        <x:is>
          <x:t xml:space="preserve">The healthy product is announced and marketing begins.</x:t>
        </x:is>
      </x:c>
      <x:c r="C20" s="98" t="inlineStr">
        <x:is>
          <x:t xml:space="preserve">People seeing an ad can buy immediately.</x:t>
        </x:is>
      </x:c>
    </x:row>
    <x:row r="21" ht="48" customHeight="1">
      <x:c r="A21" s="98" t="inlineStr">
        <x:is>
          <x:t xml:space="preserve">Beta closure</x:t>
        </x:is>
      </x:c>
      <x:c r="B21" s="98" t="inlineStr">
        <x:is>
          <x:t xml:space="preserve">Stop offering Beta to new people while preserving existing testers' agreed access and exports.</x:t>
        </x:is>
      </x:c>
      <x:c r="C21" s="98" t="inlineStr">
        <x:is>
          <x:t xml:space="preserve">It changes the offer without abruptly locking people out.</x:t>
        </x:is>
      </x:c>
    </x:row>
    <x:row r="22" ht="48" customHeight="1">
      <x:c r="A22" s="233" t="inlineStr">
        <x:is>
          <x:t xml:space="preserve">Evidence</x:t>
        </x:is>
      </x:c>
      <x:c r="B22" s="233" t="inlineStr">
        <x:is>
          <x:t xml:space="preserve">A result, screenshot, log, file, or observation showing what happened.</x:t>
        </x:is>
      </x:c>
      <x:c r="C22" s="233" t="inlineStr">
        <x:is>
          <x:t xml:space="preserve">Done means proven, not attempted.</x:t>
        </x:is>
      </x:c>
    </x:row>
  </x:sheetData>
  <x:mergeCells>
    <x:mergeCell ref="A3:C3"/>
    <x:mergeCell ref="A2:C2"/>
  </x:mergeCells>
  <x:pageMargins left="0.7" right="0.7" top="0.75" bottom="0.75" header="0.3" footer="0.3"/>
</x:worksheet>
</file>

<file path=xl/worksheets/sheet7.xml><?xml version="1.0" encoding="utf-8"?>
<x:worksheet xmlns:x="http://schemas.openxmlformats.org/spreadsheetml/2006/main">
  <x:sheetFormatPr baseColWidth="8" defaultRowHeight="15"/>
  <x:cols>
    <x:col min="1" max="1" width="30" customWidth="1"/>
    <x:col min="2" max="2" width="95" customWidth="1"/>
    <x:col min="3" max="3" width="50" customWidth="1"/>
    <x:col min="4" max="4" width="14" customWidth="1"/>
  </x:cols>
  <x:sheetData>
    <x:row r="1">
      <x:c r="A1" s="243" t="inlineStr">
        <x:is>
          <x:t xml:space="preserve">Roadmap alignment — every open roadmap / QA-plan item and the day it is scheduled (docs/ROADMAP.md "Sprint alignment" is the canonical copy)</x:t>
        </x:is>
      </x:c>
    </x:row>
    <x:row r="3">
      <x:c r="A3" s="271" t="inlineStr">
        <x:is>
          <x:t xml:space="preserve">Launch Readiness Gate</x:t>
        </x:is>
      </x:c>
    </x:row>
    <x:row r="4">
      <x:c r="A4" s="244" t="inlineStr">
        <x:is>
          <x:t xml:space="preserve">Gate</x:t>
        </x:is>
      </x:c>
      <x:c r="B4" s="244" t="inlineStr">
        <x:is>
          <x:t xml:space="preserve">How the sprint closes it</x:t>
        </x:is>
      </x:c>
      <x:c r="C4" s="244" t="inlineStr">
        <x:is>
          <x:t xml:space="preserve">Closing day</x:t>
        </x:is>
      </x:c>
    </x:row>
    <x:row r="5">
      <x:c r="A5" s="245" t="inlineStr">
        <x:is>
          <x:t xml:space="preserve">Scope gate</x:t>
        </x:is>
      </x:c>
      <x:c r="B5" s="245" t="inlineStr">
        <x:is>
          <x:t xml:space="preserve">Desktop workspace built and verified (6-11 and 17 Oct); every Launch Required and To Be Implemented row closed by 16 Oct or explicitly moved to Future/Excluded</x:t>
        </x:is>
      </x:c>
      <x:c r="C5" s="245" t="inlineStr">
        <x:is>
          <x:t xml:space="preserve">Fri 16 Oct</x:t>
        </x:is>
      </x:c>
    </x:row>
    <x:row r="6">
      <x:c r="A6" s="245" t="inlineStr">
        <x:is>
          <x:t xml:space="preserve">Project-type gate</x:t>
        </x:is>
      </x:c>
      <x:c r="B6" s="245" t="inlineStr">
        <x:is>
          <x:t xml:space="preserve">All six types pass create -&gt; write -&gt; export (12-15 Oct); AI behaviour per type (19-20 Oct)</x:t>
        </x:is>
      </x:c>
      <x:c r="C6" s="245" t="inlineStr">
        <x:is>
          <x:t xml:space="preserve">Tue 20 Oct</x:t>
        </x:is>
      </x:c>
    </x:row>
    <x:row r="7">
      <x:c r="A7" s="245" t="inlineStr">
        <x:is>
          <x:t xml:space="preserve">Data safety gate</x:t>
        </x:is>
      </x:c>
      <x:c r="B7" s="245" t="inlineStr">
        <x:is>
          <x:t xml:space="preserve">Auth, save, restore, isolation, storage-limit and local/cloud transition evidence (1-5 Oct)</x:t>
        </x:is>
      </x:c>
      <x:c r="C7" s="245" t="inlineStr">
        <x:is>
          <x:t xml:space="preserve">Mon 5 Oct</x:t>
        </x:is>
      </x:c>
    </x:row>
    <x:row r="8">
      <x:c r="A8" s="245" t="inlineStr">
        <x:is>
          <x:t xml:space="preserve">Export ownership gate</x:t>
        </x:is>
      </x:c>
      <x:c r="B8" s="245" t="inlineStr">
        <x:is>
          <x:t xml:space="preserve">ZIP/DOCX/PDF/World Bible readable and private, including expiry access (2 and 4-5 Oct)</x:t>
        </x:is>
      </x:c>
      <x:c r="C8" s="245" t="inlineStr">
        <x:is>
          <x:t xml:space="preserve">Mon 5 Oct</x:t>
        </x:is>
      </x:c>
    </x:row>
    <x:row r="9">
      <x:c r="A9" s="245" t="inlineStr">
        <x:is>
          <x:t xml:space="preserve">Payment gate</x:t>
        </x:is>
      </x:c>
      <x:c r="B9" s="245" t="inlineStr">
        <x:is>
          <x:t xml:space="preserve">Stripe test-mode journey passes (21-23 Oct), live config reviewed without purchase (24-25 Oct)</x:t>
        </x:is>
      </x:c>
      <x:c r="C9" s="245" t="inlineStr">
        <x:is>
          <x:t xml:space="preserve">Sat 24 Oct</x:t>
        </x:is>
      </x:c>
    </x:row>
    <x:row r="10">
      <x:c r="A10" s="245" t="inlineStr">
        <x:is>
          <x:t xml:space="preserve">Legal and promise gate</x:t>
        </x:is>
      </x:c>
      <x:c r="B10" s="245" t="inlineStr">
        <x:is>
          <x:t xml:space="preserve">Copy, Terms, Privacy and behaviour reconciled and approved (21 Oct)</x:t>
        </x:is>
      </x:c>
      <x:c r="C10" s="245" t="inlineStr">
        <x:is>
          <x:t xml:space="preserve">Wed 21 Oct</x:t>
        </x:is>
      </x:c>
    </x:row>
    <x:row r="11">
      <x:c r="A11" s="245" t="inlineStr">
        <x:is>
          <x:t xml:space="preserve">Responsive gate</x:t>
        </x:is>
      </x:c>
      <x:c r="B11" s="245" t="inlineStr">
        <x:is>
          <x:t xml:space="preserve">375/768/desktop, Safari/Firefox, real iPhone, keyboard and screen reader (18 Oct)</x:t>
        </x:is>
      </x:c>
      <x:c r="C11" s="245" t="inlineStr">
        <x:is>
          <x:t xml:space="preserve">Sun 18 Oct</x:t>
        </x:is>
      </x:c>
    </x:row>
    <x:row r="12">
      <x:c r="A12" s="245" t="inlineStr">
        <x:is>
          <x:t xml:space="preserve">Performance gate</x:t>
        </x:is>
      </x:c>
      <x:c r="B12" s="245" t="inlineStr">
        <x:is>
          <x:t xml:space="preserve">Bundle/route budgets and realistic large-project load (18 Oct); decision D1</x:t>
        </x:is>
      </x:c>
      <x:c r="C12" s="245" t="inlineStr">
        <x:is>
          <x:t xml:space="preserve">Sun 18 Oct</x:t>
        </x:is>
      </x:c>
    </x:row>
    <x:row r="13">
      <x:c r="A13" s="245" t="inlineStr">
        <x:is>
          <x:t xml:space="preserve">Marketing gate</x:t>
        </x:is>
      </x:c>
      <x:c r="B13" s="245" t="inlineStr">
        <x:is>
          <x:t xml:space="preserve">Passed 24 Sep for its defined scope; re-verified after copy changes (21 and 24 Oct)</x:t>
        </x:is>
      </x:c>
      <x:c r="C13" s="245" t="inlineStr">
        <x:is>
          <x:t xml:space="preserve">Sat 24 Oct</x:t>
        </x:is>
      </x:c>
    </x:row>
    <x:row r="15">
      <x:c r="A15" s="271" t="inlineStr">
        <x:is>
          <x:t xml:space="preserve">Item-by-item</x:t>
        </x:is>
      </x:c>
    </x:row>
    <x:row r="16">
      <x:c r="A16" s="244" t="inlineStr">
        <x:is>
          <x:t xml:space="preserve">Day</x:t>
        </x:is>
      </x:c>
      <x:c r="B16" s="244" t="inlineStr">
        <x:is>
          <x:t xml:space="preserve">Item</x:t>
        </x:is>
      </x:c>
      <x:c r="C16" s="244" t="inlineStr">
        <x:is>
          <x:t xml:space="preserve">Source in roadmap / QA plan</x:t>
        </x:is>
      </x:c>
      <x:c r="D16" s="244" t="inlineStr">
        <x:is>
          <x:t xml:space="preserve">Needs owner?</x:t>
        </x:is>
      </x:c>
    </x:row>
    <x:row r="17">
      <x:c r="A17" s="245" t="inlineStr">
        <x:is>
          <x:t xml:space="preserve">Thu 1 Oct</x:t>
        </x:is>
      </x:c>
      <x:c r="B17" s="245" t="inlineStr">
        <x:is>
          <x:t xml:space="preserve">Web idle-logout (24h) live-check script: force stale timestamp, confirm clean sign-out without data loss</x:t>
        </x:is>
      </x:c>
      <x:c r="C17" s="245" t="inlineStr">
        <x:is>
          <x:t xml:space="preserve">QA_PLAN Priority 1 / Launch Required: Web idle logout</x:t>
        </x:is>
      </x:c>
      <x:c r="D17" s="245" t="inlineStr">
        <x:is>
          <x:t xml:space="preserve">AI-only</x:t>
        </x:is>
      </x:c>
    </x:row>
    <x:row r="18">
      <x:c r="A18" s="245" t="inlineStr">
        <x:is>
          <x:t xml:space="preserve">Thu 1 Oct</x:t>
        </x:is>
      </x:c>
      <x:c r="B18" s="245" t="inlineStr">
        <x:is>
          <x:t xml:space="preserve">Canonical-host redirect verification (bare domain -&gt; www; path+query preserved; cross-tab auth) script and result</x:t>
        </x:is>
      </x:c>
      <x:c r="C18" s="245" t="inlineStr">
        <x:is>
          <x:t xml:space="preserve">QA_PLAN Priority 1 / Bugs: bare-domain vs www login</x:t>
        </x:is>
      </x:c>
      <x:c r="D18" s="245" t="inlineStr">
        <x:is>
          <x:t xml:space="preserve">AI-only</x:t>
        </x:is>
      </x:c>
    </x:row>
    <x:row r="19">
      <x:c r="A19" s="245" t="inlineStr">
        <x:is>
          <x:t xml:space="preserve">Thu 1 Oct</x:t>
        </x:is>
      </x:c>
      <x:c r="B19" s="245" t="inlineStr">
        <x:is>
          <x:t xml:space="preserve">Deployed security-header check (CSP, HSTS, nosniff, frame, referrer) if not already evidenced on 5 Oct</x:t>
        </x:is>
      </x:c>
      <x:c r="C19" s="245" t="inlineStr">
        <x:is>
          <x:t xml:space="preserve">QA_PLAN Priority 11 / Security: baseline headers</x:t>
        </x:is>
      </x:c>
      <x:c r="D19" s="245" t="inlineStr">
        <x:is>
          <x:t xml:space="preserve">AI-only</x:t>
        </x:is>
      </x:c>
    </x:row>
    <x:row r="20">
      <x:c r="A20" s="245" t="inlineStr">
        <x:is>
          <x:t xml:space="preserve">Fri 2 Oct</x:t>
        </x:is>
      </x:c>
      <x:c r="B20" s="245" t="inlineStr">
        <x:is>
          <x:t xml:space="preserve">DOCX single line-break vs blank-line paragraph fidelity, checked by opening in real Word and Google Docs</x:t>
        </x:is>
      </x:c>
      <x:c r="C20" s="245" t="inlineStr">
        <x:is>
          <x:t xml:space="preserve">Bugs: manuscript line breaks in DOCX</x:t>
        </x:is>
      </x:c>
      <x:c r="D20" s="245" t="inlineStr">
        <x:is>
          <x:t xml:space="preserve">AI-only</x:t>
        </x:is>
      </x:c>
    </x:row>
    <x:row r="21">
      <x:c r="A21" s="245" t="inlineStr">
        <x:is>
          <x:t xml:space="preserve">Fri 2 Oct</x:t>
        </x:is>
      </x:c>
      <x:c r="B21" s="245" t="inlineStr">
        <x:is>
          <x:t xml:space="preserve">AI chat saved as project entry and exported to Word (full chat panel path, not just bottom bar)</x:t>
        </x:is>
      </x:c>
      <x:c r="C21" s="245" t="inlineStr">
        <x:is>
          <x:t xml:space="preserve">Bugs: AI chats not durable/exportable</x:t>
        </x:is>
      </x:c>
      <x:c r="D21" s="245" t="inlineStr">
        <x:is>
          <x:t xml:space="preserve">AI-only</x:t>
        </x:is>
      </x:c>
    </x:row>
    <x:row r="22">
      <x:c r="A22" s="245" t="inlineStr">
        <x:is>
          <x:t xml:space="preserve">Fri 2 Oct</x:t>
        </x:is>
      </x:c>
      <x:c r="B22" s="245" t="inlineStr">
        <x:is>
          <x:t xml:space="preserve">World Bible / visual PDF/HTML encyclopedia output inspected for all six project types</x:t>
        </x:is>
      </x:c>
      <x:c r="C22" s="245" t="inlineStr">
        <x:is>
          <x:t xml:space="preserve">QA Needed: World Bible export path</x:t>
        </x:is>
      </x:c>
      <x:c r="D22" s="245" t="inlineStr">
        <x:is>
          <x:t xml:space="preserve">AI-only</x:t>
        </x:is>
      </x:c>
    </x:row>
    <x:row r="23">
      <x:c r="A23" s="245" t="inlineStr">
        <x:is>
          <x:t xml:space="preserve">Sat 3 Oct</x:t>
        </x:is>
      </x:c>
      <x:c r="B23" s="245" t="inlineStr">
        <x:is>
          <x:t xml:space="preserve">Confirm scene-revision migration is applied in production and the legacy-projection fallback is no longer needed</x:t>
        </x:is>
      </x:c>
      <x:c r="C23" s="245" t="inlineStr">
        <x:is>
          <x:t xml:space="preserve">Bugs: scene-concurrency projects failed to load</x:t>
        </x:is>
      </x:c>
      <x:c r="D23" s="245" t="inlineStr">
        <x:is>
          <x:t xml:space="preserve">AI-only</x:t>
        </x:is>
      </x:c>
    </x:row>
    <x:row r="24">
      <x:c r="A24" s="245" t="inlineStr">
        <x:is>
          <x:t xml:space="preserve">Sat 3 Oct</x:t>
        </x:is>
      </x:c>
      <x:c r="B24" s="245" t="inlineStr">
        <x:is>
          <x:t xml:space="preserve">Replay every committed migration on an empty Supabase project with no manual SQL; reconcile migration history; dry-run push</x:t>
        </x:is>
      </x:c>
      <x:c r="C24" s="245" t="inlineStr">
        <x:is>
          <x:t xml:space="preserve">QA_PLAN Priority -1: Database and server continuity</x:t>
        </x:is>
      </x:c>
      <x:c r="D24" s="245" t="inlineStr">
        <x:is>
          <x:t xml:space="preserve">AI-only</x:t>
        </x:is>
      </x:c>
    </x:row>
    <x:row r="25">
      <x:c r="A25" s="245" t="inlineStr">
        <x:is>
          <x:t xml:space="preserve">Sat 3 Oct</x:t>
        </x:is>
      </x:c>
      <x:c r="B25" s="245" t="inlineStr">
        <x:is>
          <x:t xml:space="preserve">Two-account global-ID collision attempts against every normalized table</x:t>
        </x:is>
      </x:c>
      <x:c r="C25" s="245" t="inlineStr">
        <x:is>
          <x:t xml:space="preserve">QA_PLAN Priority -1: Database and server continuity</x:t>
        </x:is>
      </x:c>
      <x:c r="D25" s="245" t="inlineStr">
        <x:is>
          <x:t xml:space="preserve">AI-only</x:t>
        </x:is>
      </x:c>
    </x:row>
    <x:row r="26">
      <x:c r="A26" s="245" t="inlineStr">
        <x:is>
          <x:t xml:space="preserve">Sat 3 Oct</x:t>
        </x:is>
      </x:c>
      <x:c r="B26" s="245" t="inlineStr">
        <x:is>
          <x:t xml:space="preserve">Deploy only the authoritative Vercel billing stack; retire/quarantine the drifted legacy Supabase Edge Function Stripe copies</x:t>
        </x:is>
      </x:c>
      <x:c r="C26" s="245" t="inlineStr">
        <x:is>
          <x:t xml:space="preserve">PAYMENT_ROADMAP 2026-10-02 note / QA_PLAN Priority -1</x:t>
        </x:is>
      </x:c>
      <x:c r="D26" s="245" t="inlineStr">
        <x:is>
          <x:t xml:space="preserve">AI-only</x:t>
        </x:is>
      </x:c>
    </x:row>
    <x:row r="27">
      <x:c r="A27" s="245" t="inlineStr">
        <x:is>
          <x:t xml:space="preserve">Sat 3 Oct</x:t>
        </x:is>
      </x:c>
      <x:c r="B27" s="245" t="inlineStr">
        <x:is>
          <x:t xml:space="preserve">Verify .env.example + runbook can stand up a disposable environment with no browser-exposed provider keys</x:t>
        </x:is>
      </x:c>
      <x:c r="C27" s="245" t="inlineStr">
        <x:is>
          <x:t xml:space="preserve">QA_PLAN Priority -1</x:t>
        </x:is>
      </x:c>
      <x:c r="D27" s="245" t="inlineStr">
        <x:is>
          <x:t xml:space="preserve">AI-only</x:t>
        </x:is>
      </x:c>
    </x:row>
    <x:row r="28">
      <x:c r="A28" s="245" t="inlineStr">
        <x:is>
          <x:t xml:space="preserve">Sat 3 Oct</x:t>
        </x:is>
      </x:c>
      <x:c r="B28" s="245" t="inlineStr">
        <x:is>
          <x:t xml:space="preserve">Scene cleanup on project delete: prepare read-only Supabase check that no scene rows remain</x:t>
        </x:is>
      </x:c>
      <x:c r="C28" s="245" t="inlineStr">
        <x:is>
          <x:t xml:space="preserve">QA_PLAN Priority 1: Scene cleanup on project delete</x:t>
        </x:is>
      </x:c>
      <x:c r="D28" s="245" t="inlineStr">
        <x:is>
          <x:t xml:space="preserve">O03</x:t>
        </x:is>
      </x:c>
    </x:row>
    <x:row r="29">
      <x:c r="A29" s="245" t="inlineStr">
        <x:is>
          <x:t xml:space="preserve">Sat 3 Oct</x:t>
        </x:is>
      </x:c>
      <x:c r="B29" s="245" t="inlineStr">
        <x:is>
          <x:t xml:space="preserve">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x:t>
        </x:is>
      </x:c>
      <x:c r="C29" s="245" t="inlineStr">
        <x:is>
          <x:t xml:space="preserve">Security table / owner 2026-09-30</x:t>
        </x:is>
      </x:c>
      <x:c r="D29" s="245" t="inlineStr">
        <x:is>
          <x:t xml:space="preserve">AI-only</x:t>
        </x:is>
      </x:c>
    </x:row>
    <x:row r="30">
      <x:c r="A30" s="245" t="inlineStr">
        <x:is>
          <x:t xml:space="preserve">Sun 4 Oct</x:t>
        </x:is>
      </x:c>
      <x:c r="B30" s="245" t="inlineStr">
        <x:is>
          <x:t xml:space="preserve">Entitlement negative matrix: Free user cannot write plan/status/Founder/Lifetime/Stripe fields via any path</x:t>
        </x:is>
      </x:c>
      <x:c r="C30" s="245" t="inlineStr">
        <x:is>
          <x:t xml:space="preserve">QA_PLAN Priority -1: Secrets and authorization</x:t>
        </x:is>
      </x:c>
      <x:c r="D30" s="245" t="inlineStr">
        <x:is>
          <x:t xml:space="preserve">AI-only</x:t>
        </x:is>
      </x:c>
    </x:row>
    <x:row r="31">
      <x:c r="A31" s="245" t="inlineStr">
        <x:is>
          <x:t xml:space="preserve">Sun 4 Oct</x:t>
        </x:is>
      </x:c>
      <x:c r="B31" s="245" t="inlineStr">
        <x:is>
          <x:t xml:space="preserve">Durable rate-limit live checks (AI proxy, feedback, paid-interest, email actions): 6th request 429s, window clears</x:t>
        </x:is>
      </x:c>
      <x:c r="C31" s="245" t="inlineStr">
        <x:is>
          <x:t xml:space="preserve">Security: durable rate limits / QA_PLAN Priority -1</x:t>
        </x:is>
      </x:c>
      <x:c r="D31" s="245" t="inlineStr">
        <x:is>
          <x:t xml:space="preserve">O05</x:t>
        </x:is>
      </x:c>
    </x:row>
    <x:row r="32">
      <x:c r="A32" s="245" t="inlineStr">
        <x:is>
          <x:t xml:space="preserve">Sun 4 Oct</x:t>
        </x:is>
      </x:c>
      <x:c r="B32" s="245" t="inlineStr">
        <x:is>
          <x:t xml:space="preserve">Queued-storage fault injection: IndexedDB/SQLite open, quota, disk-full, corruption, close-during-write; UI never says Saved before durable</x:t>
        </x:is>
      </x:c>
      <x:c r="C32" s="245" t="inlineStr">
        <x:is>
          <x:t xml:space="preserve">Security P0-07 / QA_PLAN Priority -1: Data durability</x:t>
        </x:is>
      </x:c>
      <x:c r="D32" s="245" t="inlineStr">
        <x:is>
          <x:t xml:space="preserve">AI-only</x:t>
        </x:is>
      </x:c>
    </x:row>
    <x:row r="33">
      <x:c r="A33" s="245" t="inlineStr">
        <x:is>
          <x:t xml:space="preserve">Sun 4 Oct</x:t>
        </x:is>
      </x:c>
      <x:c r="B33" s="245" t="inlineStr">
        <x:is>
          <x:t xml:space="preserve">Legacy migration matrix: localStorage-only, IndexedDB-only, divergent, empty scenes, orphan keys, tombstones, auth tokens preserved/excluded</x:t>
        </x:is>
      </x:c>
      <x:c r="C33" s="245" t="inlineStr">
        <x:is>
          <x:t xml:space="preserve">QA_PLAN Priority -1: Data durability</x:t>
        </x:is>
      </x:c>
      <x:c r="D33" s="245" t="inlineStr">
        <x:is>
          <x:t xml:space="preserve">AI-only</x:t>
        </x:is>
      </x:c>
    </x:row>
    <x:row r="34">
      <x:c r="A34" s="245" t="inlineStr">
        <x:is>
          <x:t xml:space="preserve">Sun 4 Oct</x:t>
        </x:is>
      </x:c>
      <x:c r="B34" s="245" t="inlineStr">
        <x:is>
          <x:t xml:space="preserve">Project archive identity matrix: export/import beside original, another account, colliding IDs, every project type</x:t>
        </x:is>
      </x:c>
      <x:c r="C34" s="245" t="inlineStr">
        <x:is>
          <x:t xml:space="preserve">QA_PLAN Priority -1 / Bugs P0-06 import id collision</x:t>
        </x:is>
      </x:c>
      <x:c r="D34" s="245" t="inlineStr">
        <x:is>
          <x:t xml:space="preserve">AI-only</x:t>
        </x:is>
      </x:c>
    </x:row>
    <x:row r="35">
      <x:c r="A35" s="245" t="inlineStr">
        <x:is>
          <x:t xml:space="preserve">Sun 4 Oct</x:t>
        </x:is>
      </x:c>
      <x:c r="B35" s="245" t="inlineStr">
        <x:is>
          <x:t xml:space="preserve">Server-side quota enforcement bypassing the UI (MIME, size, concurrency, deletion accounting, downgrade/renewal)</x:t>
        </x:is>
      </x:c>
      <x:c r="C35" s="245" t="inlineStr">
        <x:is>
          <x:t xml:space="preserve">QA_PLAN Priority -1: Data durability</x:t>
        </x:is>
      </x:c>
      <x:c r="D35" s="245" t="inlineStr">
        <x:is>
          <x:t xml:space="preserve">AI-only</x:t>
        </x:is>
      </x:c>
    </x:row>
    <x:row r="36">
      <x:c r="A36" s="245" t="inlineStr">
        <x:is>
          <x:t xml:space="preserve">Sun 4 Oct</x:t>
        </x:is>
      </x:c>
      <x:c r="B36" s="245" t="inlineStr">
        <x:is>
          <x:t xml:space="preserve">Live two-tab structured-record clobber + nf_scene_versions cross-tab race repro (real credentialed account)</x:t>
        </x:is>
      </x:c>
      <x:c r="C36" s="245" t="inlineStr">
        <x:is>
          <x:t xml:space="preserve">Bugs: two tabs clobber edits</x:t>
        </x:is>
      </x:c>
      <x:c r="D36" s="245" t="inlineStr">
        <x:is>
          <x:t xml:space="preserve">O04</x:t>
        </x:is>
      </x:c>
    </x:row>
    <x:row r="37">
      <x:c r="A37" s="245" t="inlineStr">
        <x:is>
          <x:t xml:space="preserve">Sun 4 Oct</x:t>
        </x:is>
      </x:c>
      <x:c r="B37" s="245" t="inlineStr">
        <x:is>
          <x:t xml:space="preserve">Real-signup flow: first-sign-in sample project prompt, exactly one Sample Project, tour persistence, unconfigured-AI guidance</x:t>
        </x:is>
      </x:c>
      <x:c r="C37" s="245" t="inlineStr">
        <x:is>
          <x:t xml:space="preserve">QA_PLAN Priority 1: new-account sample/AI setup, brand-new unconfigured AI account</x:t>
        </x:is>
      </x:c>
      <x:c r="D37" s="245" t="inlineStr">
        <x:is>
          <x:t xml:space="preserve">O01</x:t>
        </x:is>
      </x:c>
    </x:row>
    <x:row r="38">
      <x:c r="A38" s="245" t="inlineStr">
        <x:is>
          <x:t xml:space="preserve">Sun 4 Oct</x:t>
        </x:is>
      </x:c>
      <x:c r="B38" s="245" t="inlineStr">
        <x:is>
          <x:t xml:space="preserve">Cross-browser tour/wizard persistence (fresh browser profile on established account)</x:t>
        </x:is>
      </x:c>
      <x:c r="C38" s="245" t="inlineStr">
        <x:is>
          <x:t xml:space="preserve">QA_PLAN Priority 1</x:t>
        </x:is>
      </x:c>
      <x:c r="D38" s="245" t="inlineStr">
        <x:is>
          <x:t xml:space="preserve">O01</x:t>
        </x:is>
      </x:c>
    </x:row>
    <x:row r="39">
      <x:c r="A39" s="245" t="inlineStr">
        <x:is>
          <x:t xml:space="preserve">Mon 5 Oct</x:t>
        </x:is>
      </x:c>
      <x:c r="B39" s="245" t="inlineStr">
        <x:is>
          <x:t xml:space="preserve">Data safety gate and Export ownership gate: write each gate's evidence summary; move a gate to Passed only with evidence, otherwise list the exact remaining blocker</x:t>
        </x:is>
      </x:c>
      <x:c r="C39" s="245" t="inlineStr">
        <x:is>
          <x:t xml:space="preserve">Launch Readiness Gate</x:t>
        </x:is>
      </x:c>
      <x:c r="D39" s="245" t="inlineStr">
        <x:is>
          <x:t xml:space="preserve">AI-only</x:t>
        </x:is>
      </x:c>
    </x:row>
    <x:row r="40">
      <x:c r="A40" s="245" t="inlineStr">
        <x:is>
          <x:t xml:space="preserve">Tue 6 Oct</x:t>
        </x:is>
      </x:c>
      <x:c r="B40" s="245" t="inlineStr">
        <x:is>
          <x:t xml:space="preserve">Desktop entitlement matrix: Free/Monthly/Beta desktop behaviour matches approved matrix and cannot be changed by editing cache/localStorage/user metadata</x:t>
        </x:is>
      </x:c>
      <x:c r="C40" s="245" t="inlineStr">
        <x:is>
          <x:t xml:space="preserve">QA_PLAN Priority -1: Desktop product and release</x:t>
        </x:is>
      </x:c>
      <x:c r="D40" s="245" t="inlineStr">
        <x:is>
          <x:t xml:space="preserve">AI-only</x:t>
        </x:is>
      </x:c>
    </x:row>
    <x:row r="41">
      <x:c r="A41" s="245" t="inlineStr">
        <x:is>
          <x:t xml:space="preserve">Tue 6 Oct</x:t>
        </x:is>
      </x:c>
      <x:c r="B41" s="245" t="inlineStr">
        <x:is>
          <x:t xml:space="preserve">Device cap is enforced (not just a dismissible toast); licence activation with 30-day advisory recheck and offline grace</x:t>
        </x:is>
      </x:c>
      <x:c r="C41" s="245" t="inlineStr">
        <x:is>
          <x:t xml:space="preserve">QA_PLAN Priority -1 / To Be Implemented: Desktop Lifetime app</x:t>
        </x:is>
      </x:c>
      <x:c r="D41" s="245" t="inlineStr">
        <x:is>
          <x:t xml:space="preserve">AI-only</x:t>
        </x:is>
      </x:c>
    </x:row>
    <x:row r="42">
      <x:c r="A42" s="245" t="inlineStr">
        <x:is>
          <x:t xml:space="preserve">Tue 6 Oct</x:t>
        </x:is>
      </x:c>
      <x:c r="B42" s="245" t="inlineStr">
        <x:is>
          <x:t xml:space="preserve">Platform-native commands: external links open default browser; vault reveal opens Finder on macOS and Explorer on Windows</x:t>
        </x:is>
      </x:c>
      <x:c r="C42" s="245" t="inlineStr">
        <x:is>
          <x:t xml:space="preserve">QA_PLAN Priority -1: Desktop / Security row: open_external_url</x:t>
        </x:is>
      </x:c>
      <x:c r="D42" s="245" t="inlineStr">
        <x:is>
          <x:t xml:space="preserve">AI-only</x:t>
        </x:is>
      </x:c>
    </x:row>
    <x:row r="43">
      <x:c r="A43" s="245" t="inlineStr">
        <x:is>
          <x:t xml:space="preserve">Tue 6 Oct</x:t>
        </x:is>
      </x:c>
      <x:c r="B43" s="245" t="inlineStr">
        <x:is>
          <x:t xml:space="preserve">Native/webview items outside the sandbox: focused-writing caret comfort, map draw/undo/PNG export, Supabase auth in WKWebView</x:t>
        </x:is>
      </x:c>
      <x:c r="C43" s="245" t="inlineStr">
        <x:is>
          <x:t xml:space="preserve">To Be Implemented: Desktop Lifetime app</x:t>
        </x:is>
      </x:c>
      <x:c r="D43" s="245" t="inlineStr">
        <x:is>
          <x:t xml:space="preserve">AI-only</x:t>
        </x:is>
      </x:c>
    </x:row>
    <x:row r="44">
      <x:c r="A44" s="245" t="inlineStr">
        <x:is>
          <x:t xml:space="preserve">Tue 6 Oct</x:t>
        </x:is>
      </x:c>
      <x:c r="B44" s="245" t="inlineStr">
        <x:is>
          <x:t xml:space="preserve">Desktop account-only surface replaced by full workspace: re-verify all four plans land in the workspace and device list works</x:t>
        </x:is>
      </x:c>
      <x:c r="C44" s="245" t="inlineStr">
        <x:is>
          <x:t xml:space="preserve">QA_PLAN Priority 1: Desktop account-only surface</x:t>
        </x:is>
      </x:c>
      <x:c r="D44" s="245" t="inlineStr">
        <x:is>
          <x:t xml:space="preserve">AI-only</x:t>
        </x:is>
      </x:c>
    </x:row>
    <x:row r="45">
      <x:c r="A45" s="245" t="inlineStr">
        <x:is>
          <x:t xml:space="preserve">Wed 7 Oct</x:t>
        </x:is>
      </x:c>
      <x:c r="B45" s="245" t="inlineStr">
        <x:is>
          <x:t xml:space="preserve">Vault relocate/locate: move to empty folder, snapshots travel, app reloads, old copy remains, bad/missing path handled</x:t>
        </x:is>
      </x:c>
      <x:c r="C45" s="245" t="inlineStr">
        <x:is>
          <x:t xml:space="preserve">QA_PLAN Priority 1: Desktop vault relocate/locate</x:t>
        </x:is>
      </x:c>
      <x:c r="D45" s="245" t="inlineStr">
        <x:is>
          <x:t xml:space="preserve">AI-only</x:t>
        </x:is>
      </x:c>
    </x:row>
    <x:row r="46">
      <x:c r="A46" s="245" t="inlineStr">
        <x:is>
          <x:t xml:space="preserve">Wed 7 Oct</x:t>
        </x:is>
      </x:c>
      <x:c r="B46" s="245" t="inlineStr">
        <x:is>
          <x:t xml:space="preserve">Vault privacy inspection: vault.db and every snapshot contain no Supabase session, AI key, entitlement secret or unrelated browser key; document encryption-at-rest decision</x:t>
        </x:is>
      </x:c>
      <x:c r="C46" s="245" t="inlineStr">
        <x:is>
          <x:t xml:space="preserve">QA_PLAN Priority -1 / Bugs P0-10</x:t>
        </x:is>
      </x:c>
      <x:c r="D46" s="245" t="inlineStr">
        <x:is>
          <x:t xml:space="preserve">AI-only</x:t>
        </x:is>
      </x:c>
    </x:row>
    <x:row r="47">
      <x:c r="A47" s="245" t="inlineStr">
        <x:is>
          <x:t xml:space="preserve">Wed 7 Oct</x:t>
        </x:is>
      </x:c>
      <x:c r="B47" s="245" t="inlineStr">
        <x:is>
          <x:t xml:space="preserve">Cloud-sync status UI: Syncing / Synced / failure states and Local-first manual sync controls</x:t>
        </x:is>
      </x:c>
      <x:c r="C47" s="245" t="inlineStr">
        <x:is>
          <x:t xml:space="preserve">QA_PLAN Priority 1: Desktop cloud sync status UI</x:t>
        </x:is>
      </x:c>
      <x:c r="D47" s="245" t="inlineStr">
        <x:is>
          <x:t xml:space="preserve">AI-only</x:t>
        </x:is>
      </x:c>
    </x:row>
    <x:row r="48">
      <x:c r="A48" s="245" t="inlineStr">
        <x:is>
          <x:t xml:space="preserve">Thu 8 Oct</x:t>
        </x:is>
      </x:c>
      <x:c r="B48" s="245" t="inlineStr">
        <x:is>
          <x:t xml:space="preserve">Map PNG export and rendered exports from the packaged desktop build (alongside ZIP/DOCX/PDF save dialogs)</x:t>
        </x:is>
      </x:c>
      <x:c r="C48" s="245" t="inlineStr">
        <x:is>
          <x:t xml:space="preserve">To Be Implemented: Desktop / Reliable map builder</x:t>
        </x:is>
      </x:c>
      <x:c r="D48" s="245" t="inlineStr">
        <x:is>
          <x:t xml:space="preserve">AI-only</x:t>
        </x:is>
      </x:c>
    </x:row>
    <x:row r="49">
      <x:c r="A49" s="245" t="inlineStr">
        <x:is>
          <x:t xml:space="preserve">Fri 9 Oct</x:t>
        </x:is>
      </x:c>
      <x:c r="B49" s="245" t="inlineStr">
        <x:is>
          <x:t xml:space="preserve">Cloud sync fully removed on lapse; automatic resume on renewal; Storage tab shows only 'Cloud sync unavailable' + renew CTA</x:t>
        </x:is>
      </x:c>
      <x:c r="C49" s="245" t="inlineStr">
        <x:is>
          <x:t xml:space="preserve">QA_PLAN Priority 11: cloud sync removed on lapse</x:t>
        </x:is>
      </x:c>
      <x:c r="D49" s="245" t="inlineStr">
        <x:is>
          <x:t xml:space="preserve">AI-only</x:t>
        </x:is>
      </x:c>
    </x:row>
    <x:row r="50">
      <x:c r="A50" s="245" t="inlineStr">
        <x:is>
          <x:t xml:space="preserve">Fri 9 Oct</x:t>
        </x:is>
      </x:c>
      <x:c r="B50" s="245" t="inlineStr">
        <x:is>
          <x:t xml:space="preserve">Renewal checkout (GBP 6 hosting) path from desktop: web cloud-required behaviour, entitlement metadata</x:t>
        </x:is>
      </x:c>
      <x:c r="C50" s="245" t="inlineStr">
        <x:is>
          <x:t xml:space="preserve">Conditional Launch Scope: Lifetime local mode and cloud hosting split</x:t>
        </x:is>
      </x:c>
      <x:c r="D50" s="245" t="inlineStr">
        <x:is>
          <x:t xml:space="preserve">AI-only</x:t>
        </x:is>
      </x:c>
    </x:row>
    <x:row r="51">
      <x:c r="A51" s="245" t="inlineStr">
        <x:is>
          <x:t xml:space="preserve">Sat 10 Oct</x:t>
        </x:is>
      </x:c>
      <x:c r="B51" s="245" t="inlineStr">
        <x:is>
          <x:t xml:space="preserve">Unsigned-app disclosure shown prominently before purchase (Pricing, Download, FAQ, checkout) plus Gatekeeper/SmartScreen bypass steps</x:t>
        </x:is>
      </x:c>
      <x:c r="C51" s="245" t="inlineStr">
        <x:is>
          <x:t xml:space="preserve">QA_PLAN Priority -1: unsigned Mac/Windows packages</x:t>
        </x:is>
      </x:c>
      <x:c r="D51" s="245" t="inlineStr">
        <x:is>
          <x:t xml:space="preserve">AI-only</x:t>
        </x:is>
      </x:c>
    </x:row>
    <x:row r="52">
      <x:c r="A52" s="245" t="inlineStr">
        <x:is>
          <x:t xml:space="preserve">Sat 10 Oct</x:t>
        </x:is>
      </x:c>
      <x:c r="B52" s="245" t="inlineStr">
        <x:is>
          <x:t xml:space="preserve">Updater manifest covers every supported platform/architecture; test bad signature, missing platform, offline, interrupted update</x:t>
        </x:is>
      </x:c>
      <x:c r="C52" s="245" t="inlineStr">
        <x:is>
          <x:t xml:space="preserve">QA_PLAN Priority -1: updater manifest</x:t>
        </x:is>
      </x:c>
      <x:c r="D52" s="245" t="inlineStr">
        <x:is>
          <x:t xml:space="preserve">AI-only</x:t>
        </x:is>
      </x:c>
    </x:row>
    <x:row r="53">
      <x:c r="A53" s="245" t="inlineStr">
        <x:is>
          <x:t xml:space="preserve">Sun 11 Oct</x:t>
        </x:is>
      </x:c>
      <x:c r="B53" s="245" t="inlineStr">
        <x:is>
          <x:t xml:space="preserve">Clean-machine Mac: Gatekeeper bypass steps as a customer, install, update from previous release, uninstall leaves vault intact</x:t>
        </x:is>
      </x:c>
      <x:c r="C53" s="245" t="inlineStr">
        <x:is>
          <x:t xml:space="preserve">QA_PLAN Priority -1: unsigned packages</x:t>
        </x:is>
      </x:c>
      <x:c r="D53" s="245" t="inlineStr">
        <x:is>
          <x:t xml:space="preserve">AI-only</x:t>
        </x:is>
      </x:c>
    </x:row>
    <x:row r="54">
      <x:c r="A54" s="245" t="inlineStr">
        <x:is>
          <x:t xml:space="preserve">Mon 12 Oct</x:t>
        </x:is>
      </x:c>
      <x:c r="B54" s="245" t="inlineStr">
        <x:is>
          <x:t xml:space="preserve">Daily-goal streaks: page refresh and project switching while a streak is active, at desktop/tablet/mobile widths</x:t>
        </x:is>
      </x:c>
      <x:c r="C54" s="245" t="inlineStr">
        <x:is>
          <x:t xml:space="preserve">Launch Required: Consecutive daily-goal streaks</x:t>
        </x:is>
      </x:c>
      <x:c r="D54" s="245" t="inlineStr">
        <x:is>
          <x:t xml:space="preserve">AI-only</x:t>
        </x:is>
      </x:c>
    </x:row>
    <x:row r="55">
      <x:c r="A55" s="245" t="inlineStr">
        <x:is>
          <x:t xml:space="preserve">Mon 12 Oct</x:t>
        </x:is>
      </x:c>
      <x:c r="B55" s="245" t="inlineStr">
        <x:is>
          <x:t xml:space="preserve">'Finalise draft' action appears for non-novel types and silently no-ops: hide or make it work, plus regression test</x:t>
        </x:is>
      </x:c>
      <x:c r="C55" s="245" t="inlineStr">
        <x:is>
          <x:t xml:space="preserve">Bugs 2026-09-24: Finalise draft for non-novel types</x:t>
        </x:is>
      </x:c>
      <x:c r="D55" s="245" t="inlineStr">
        <x:is>
          <x:t xml:space="preserve">AI-only</x:t>
        </x:is>
      </x:c>
    </x:row>
    <x:row r="56">
      <x:c r="A56" s="245" t="inlineStr">
        <x:is>
          <x:t xml:space="preserve">Mon 12 Oct</x:t>
        </x:is>
      </x:c>
      <x:c r="B56" s="245" t="inlineStr">
        <x:is>
          <x:t xml:space="preserve">Novella and Short Story starter templates only show their own templates; project-type gate rows for both</x:t>
        </x:is>
      </x:c>
      <x:c r="C56" s="245" t="inlineStr">
        <x:is>
          <x:t xml:space="preserve">Project Type Launch Scope</x:t>
        </x:is>
      </x:c>
      <x:c r="D56" s="245" t="inlineStr">
        <x:is>
          <x:t xml:space="preserve">AI-only</x:t>
        </x:is>
      </x:c>
    </x:row>
    <x:row r="57">
      <x:c r="A57" s="245" t="inlineStr">
        <x:is>
          <x:t xml:space="preserve">Tue 13 Oct</x:t>
        </x:is>
      </x:c>
      <x:c r="B57" s="245" t="inlineStr">
        <x:is>
          <x:t xml:space="preserve">D&amp;D/TTRPG project-type-aware AI behaviour (DM-side vs GM-side framing): prepare the guided checks; owner runs them with their own AI key on 19 Oct</x:t>
        </x:is>
      </x:c>
      <x:c r="C57" s="245" t="inlineStr">
        <x:is>
          <x:t xml:space="preserve">Bugs 2026-07-19: D&amp;D/TTRPG session workflow</x:t>
        </x:is>
      </x:c>
      <x:c r="D57" s="245" t="inlineStr">
        <x:is>
          <x:t xml:space="preserve">O07</x:t>
        </x:is>
      </x:c>
    </x:row>
    <x:row r="58">
      <x:c r="A58" s="245" t="inlineStr">
        <x:is>
          <x:t xml:space="preserve">Tue 13 Oct</x:t>
        </x:is>
      </x:c>
      <x:c r="B58" s="245" t="inlineStr">
        <x:is>
          <x:t xml:space="preserve">Session prep/recap persistence, default-section visibility and export for both campaign types</x:t>
        </x:is>
      </x:c>
      <x:c r="C58" s="245" t="inlineStr">
        <x:is>
          <x:t xml:space="preserve">All Project Types Live Plan</x:t>
        </x:is>
      </x:c>
      <x:c r="D58" s="245" t="inlineStr">
        <x:is>
          <x:t xml:space="preserve">AI-only</x:t>
        </x:is>
      </x:c>
    </x:row>
    <x:row r="59">
      <x:c r="A59" s="245" t="inlineStr">
        <x:is>
          <x:t xml:space="preserve">Wed 14 Oct</x:t>
        </x:is>
      </x:c>
      <x:c r="B59" s="245" t="inlineStr">
        <x:is>
          <x:t xml:space="preserve">Local write path / media upload: live-account upload QA well beyond the old 5-10 MB localStorage cap</x:t>
        </x:is>
      </x:c>
      <x:c r="C59" s="245" t="inlineStr">
        <x:is>
          <x:t xml:space="preserve">Launch Required: Local write path capped below paid storage promise</x:t>
        </x:is>
      </x:c>
      <x:c r="D59" s="245" t="inlineStr">
        <x:is>
          <x:t xml:space="preserve">O08</x:t>
        </x:is>
      </x:c>
    </x:row>
    <x:row r="60">
      <x:c r="A60" s="245" t="inlineStr">
        <x:is>
          <x:t xml:space="preserve">Wed 14 Oct</x:t>
        </x:is>
      </x:c>
      <x:c r="B60" s="245" t="inlineStr">
        <x:is>
          <x:t xml:space="preserve">Novel finalised-draft reader and snapshots: multiple snapshots, previous/next, non-novel hiding</x:t>
        </x:is>
      </x:c>
      <x:c r="C60" s="245" t="inlineStr">
        <x:is>
          <x:t xml:space="preserve">QA Needed: finalised draft snapshots</x:t>
        </x:is>
      </x:c>
      <x:c r="D60" s="245" t="inlineStr">
        <x:is>
          <x:t xml:space="preserve">AI-only</x:t>
        </x:is>
      </x:c>
    </x:row>
    <x:row r="61">
      <x:c r="A61" s="245" t="inlineStr">
        <x:is>
          <x:t xml:space="preserve">Wed 14 Oct</x:t>
        </x:is>
      </x:c>
      <x:c r="B61" s="245" t="inlineStr">
        <x:is>
          <x:t xml:space="preserve">Comic/Graphic Novel live-Supabase and large-project pass (browser-level QA already passed)</x:t>
        </x:is>
      </x:c>
      <x:c r="C61" s="245" t="inlineStr">
        <x:is>
          <x:t xml:space="preserve">Project Type Launch Scope: Comic</x:t>
        </x:is>
      </x:c>
      <x:c r="D61" s="245" t="inlineStr">
        <x:is>
          <x:t xml:space="preserve">AI-only</x:t>
        </x:is>
      </x:c>
    </x:row>
    <x:row r="62">
      <x:c r="A62" s="245" t="inlineStr">
        <x:is>
          <x:t xml:space="preserve">Thu 15 Oct</x:t>
        </x:is>
      </x:c>
      <x:c r="B62" s="245" t="inlineStr">
        <x:is>
          <x:t xml:space="preserve">Reliable map builder acceptance: persistence, grid overlay, JSON import/export, restore from ZIP, high-res PNG, undo/redo, all four map types</x:t>
        </x:is>
      </x:c>
      <x:c r="C62" s="245" t="inlineStr">
        <x:is>
          <x:t xml:space="preserve">To Be Implemented: Reliable map builder</x:t>
        </x:is>
      </x:c>
      <x:c r="D62" s="245" t="inlineStr">
        <x:is>
          <x:t xml:space="preserve">AI-only</x:t>
        </x:is>
      </x:c>
    </x:row>
    <x:row r="63">
      <x:c r="A63" s="245" t="inlineStr">
        <x:is>
          <x:t xml:space="preserve">Fri 16 Oct</x:t>
        </x:is>
      </x:c>
      <x:c r="B63" s="245" t="inlineStr">
        <x:is>
          <x:t xml:space="preserve">Characters: live-sync/media, stale-selection repair and rendered export; Character journey/arc tracking acceptance</x:t>
        </x:is>
      </x:c>
      <x:c r="C63" s="245" t="inlineStr">
        <x:is>
          <x:t xml:space="preserve">Launch Required: Character system / To Be Implemented</x:t>
        </x:is>
      </x:c>
      <x:c r="D63" s="245" t="inlineStr">
        <x:is>
          <x:t xml:space="preserve">AI-only</x:t>
        </x:is>
      </x:c>
    </x:row>
    <x:row r="64">
      <x:c r="A64" s="245" t="inlineStr">
        <x:is>
          <x:t xml:space="preserve">Fri 16 Oct</x:t>
        </x:is>
      </x:c>
      <x:c r="B64" s="245" t="inlineStr">
        <x:is>
          <x:t xml:space="preserve">Locations link cleanup; Lore and Timeline/History on a real synced multi-project series</x:t>
        </x:is>
      </x:c>
      <x:c r="C64" s="245" t="inlineStr">
        <x:is>
          <x:t xml:space="preserve">Launch Required: Locations, Lore, Timeline/History</x:t>
        </x:is>
      </x:c>
      <x:c r="D64" s="245" t="inlineStr">
        <x:is>
          <x:t xml:space="preserve">O09</x:t>
        </x:is>
      </x:c>
    </x:row>
    <x:row r="65">
      <x:c r="A65" s="245" t="inlineStr">
        <x:is>
          <x:t xml:space="preserve">Fri 16 Oct</x:t>
        </x:is>
      </x:c>
      <x:c r="B65" s="245" t="inlineStr">
        <x:is>
          <x:t xml:space="preserve">Character relationship mapping full-network canvas: browser and live-sync QA</x:t>
        </x:is>
      </x:c>
      <x:c r="C65" s="245" t="inlineStr">
        <x:is>
          <x:t xml:space="preserve">Conditional Launch Scope</x:t>
        </x:is>
      </x:c>
      <x:c r="D65" s="245" t="inlineStr">
        <x:is>
          <x:t xml:space="preserve">AI-only</x:t>
        </x:is>
      </x:c>
    </x:row>
    <x:row r="66">
      <x:c r="A66" s="245" t="inlineStr">
        <x:is>
          <x:t xml:space="preserve">Fri 16 Oct</x:t>
        </x:is>
      </x:c>
      <x:c r="B66" s="245" t="inlineStr">
        <x:is>
          <x:t xml:space="preserve">Factions, family groups and Founders directory acceptance</x:t>
        </x:is>
      </x:c>
      <x:c r="C66" s="245" t="inlineStr">
        <x:is>
          <x:t xml:space="preserve">QA Needed: Factions/family; Founders directory</x:t>
        </x:is>
      </x:c>
      <x:c r="D66" s="245" t="inlineStr">
        <x:is>
          <x:t xml:space="preserve">AI-only</x:t>
        </x:is>
      </x:c>
    </x:row>
    <x:row r="67">
      <x:c r="A67" s="245" t="inlineStr">
        <x:is>
          <x:t xml:space="preserve">Fri 16 Oct</x:t>
        </x:is>
      </x:c>
      <x:c r="B67" s="245" t="inlineStr">
        <x:is>
          <x:t xml:space="preserve">Series management and cross-project references; configurable Schedule calendar; Focused writing mode; AI Import for all six types</x:t>
        </x:is>
      </x:c>
      <x:c r="C67" s="245" t="inlineStr">
        <x:is>
          <x:t xml:space="preserve">To Be Implemented</x:t>
        </x:is>
      </x:c>
      <x:c r="D67" s="245" t="inlineStr">
        <x:is>
          <x:t xml:space="preserve">AI-only</x:t>
        </x:is>
      </x:c>
    </x:row>
    <x:row r="68">
      <x:c r="A68" s="245" t="inlineStr">
        <x:is>
          <x:t xml:space="preserve">Fri 16 Oct</x:t>
        </x:is>
      </x:c>
      <x:c r="B68" s="245" t="inlineStr">
        <x:is>
          <x:t xml:space="preserve">Fresh mobile pass on modals/overlays; AI suggestion mode; theme customisation; corner-roundness save-to-profile</x:t>
        </x:is>
      </x:c>
      <x:c r="C68" s="245" t="inlineStr">
        <x:is>
          <x:t xml:space="preserve">Conditional Launch Scope / QA Needed / QA_PLAN Priority 1</x:t>
        </x:is>
      </x:c>
      <x:c r="D68" s="245" t="inlineStr">
        <x:is>
          <x:t xml:space="preserve">AI-only</x:t>
        </x:is>
      </x:c>
    </x:row>
    <x:row r="69">
      <x:c r="A69" s="245" t="inlineStr">
        <x:is>
          <x:t xml:space="preserve">Sat 17 Oct</x:t>
        </x:is>
      </x:c>
      <x:c r="B69" s="245" t="inlineStr">
        <x:is>
          <x:t xml:space="preserve">Windows: SmartScreen bypass steps, WebView2 install, Explorer reveal, updater, uninstall; close Desktop Gate and the desktop row of the Scope gate</x:t>
        </x:is>
      </x:c>
      <x:c r="C69" s="245" t="inlineStr">
        <x:is>
          <x:t xml:space="preserve">QA_PLAN Priority -1 / Scope gate</x:t>
        </x:is>
      </x:c>
      <x:c r="D69" s="245" t="inlineStr">
        <x:is>
          <x:t xml:space="preserve">O06</x:t>
        </x:is>
      </x:c>
    </x:row>
    <x:row r="70">
      <x:c r="A70" s="245" t="inlineStr">
        <x:is>
          <x:t xml:space="preserve">Sun 18 Oct</x:t>
        </x:is>
      </x:c>
      <x:c r="B70" s="245" t="inlineStr">
        <x:is>
          <x:t xml:space="preserve">Performance budgets: route/bundle budgets set and met; cold/warm load on low/mid hardware with a realistic 80k+ word project</x:t>
        </x:is>
      </x:c>
      <x:c r="C70" s="245" t="inlineStr">
        <x:is>
          <x:t xml:space="preserve">Performance gate / QA_PLAN Priority -1</x:t>
        </x:is>
      </x:c>
      <x:c r="D70" s="245" t="inlineStr">
        <x:is>
          <x:t xml:space="preserve">AI-only</x:t>
        </x:is>
      </x:c>
    </x:row>
    <x:row r="71">
      <x:c r="A71" s="245" t="inlineStr">
        <x:is>
          <x:t xml:space="preserve">Sun 18 Oct</x:t>
        </x:is>
      </x:c>
      <x:c r="B71" s="245" t="inlineStr">
        <x:is>
          <x:t xml:space="preserve">Very large single scene with a note attached: fix or ship a documented limit (see Decisions D1)</x:t>
        </x:is>
      </x:c>
      <x:c r="C71" s="245" t="inlineStr">
        <x:is>
          <x:t xml:space="preserve">Bugs 2026-08-08: very large scene typing lag</x:t>
        </x:is>
      </x:c>
      <x:c r="D71" s="245" t="inlineStr">
        <x:is>
          <x:t xml:space="preserve">D1</x:t>
        </x:is>
      </x:c>
    </x:row>
    <x:row r="72">
      <x:c r="A72" s="245" t="inlineStr">
        <x:is>
          <x:t xml:space="preserve">Sun 18 Oct</x:t>
        </x:is>
      </x:c>
      <x:c r="B72" s="245" t="inlineStr">
        <x:is>
          <x:t xml:space="preserve">Real iPhone Safari: address bar does not collapse (marked NOT fixed 23 Sep) and white bars above/below the page</x:t>
        </x:is>
      </x:c>
      <x:c r="C72" s="245" t="inlineStr">
        <x:is>
          <x:t xml:space="preserve">Bugs 2026-09-18: iPhone address bar / QA_PLAN Priority 4</x:t>
        </x:is>
      </x:c>
      <x:c r="D72" s="245" t="inlineStr">
        <x:is>
          <x:t xml:space="preserve">AI-only</x:t>
        </x:is>
      </x:c>
    </x:row>
    <x:row r="73">
      <x:c r="A73" s="245" t="inlineStr">
        <x:is>
          <x:t xml:space="preserve">Sun 18 Oct</x:t>
        </x:is>
      </x:c>
      <x:c r="B73" s="245" t="inlineStr">
        <x:is>
          <x:t xml:space="preserve">Remaining contrast-pass installments; Chromium, Safari and Firefox at 375/768/desktop; keyboard-only and VoiceOver pass</x:t>
        </x:is>
      </x:c>
      <x:c r="C73" s="245" t="inlineStr">
        <x:is>
          <x:t xml:space="preserve">Needs Product Decision: contrast pass / Responsive gate</x:t>
        </x:is>
      </x:c>
      <x:c r="D73" s="245" t="inlineStr">
        <x:is>
          <x:t xml:space="preserve">O10</x:t>
        </x:is>
      </x:c>
    </x:row>
    <x:row r="74">
      <x:c r="A74" s="245" t="inlineStr">
        <x:is>
          <x:t xml:space="preserve">Mon 19 Oct</x:t>
        </x:is>
      </x:c>
      <x:c r="B74" s="245" t="inlineStr">
        <x:is>
          <x:t xml:space="preserve">AI key isolation and cross-device sync with two real accounts using OpenRouter and OpenAI keys; proxy transport</x:t>
        </x:is>
      </x:c>
      <x:c r="C74" s="245" t="inlineStr">
        <x:is>
          <x:t xml:space="preserve">QA_PLAN Priority 1: AI key isolation</x:t>
        </x:is>
      </x:c>
      <x:c r="D74" s="245" t="inlineStr">
        <x:is>
          <x:t xml:space="preserve">O07</x:t>
        </x:is>
      </x:c>
    </x:row>
    <x:row r="75">
      <x:c r="A75" s="245" t="inlineStr">
        <x:is>
          <x:t xml:space="preserve">Mon 19 Oct</x:t>
        </x:is>
      </x:c>
      <x:c r="B75" s="245" t="inlineStr">
        <x:is>
          <x:t xml:space="preserve">AI chat context controls and budget awareness with real OpenRouter and OpenAI models; grounding QA</x:t>
        </x:is>
      </x:c>
      <x:c r="C75" s="245" t="inlineStr">
        <x:is>
          <x:t xml:space="preserve">Bugs: AI chat context controls</x:t>
        </x:is>
      </x:c>
      <x:c r="D75" s="245" t="inlineStr">
        <x:is>
          <x:t xml:space="preserve">O07</x:t>
        </x:is>
      </x:c>
    </x:row>
    <x:row r="76">
      <x:c r="A76" s="245" t="inlineStr">
        <x:is>
          <x:t xml:space="preserve">Mon 19 Oct</x:t>
        </x:is>
      </x:c>
      <x:c r="B76" s="245" t="inlineStr">
        <x:is>
          <x:t xml:space="preserve">Named-provider allow-list and untested-provider labelling behave as decided in D5/D9 (no custom endpoints, no advertising of other providers)</x:t>
        </x:is>
      </x:c>
      <x:c r="C76" s="245" t="inlineStr">
        <x:is>
          <x:t xml:space="preserve">Owner decision 2026-09-30</x:t>
        </x:is>
      </x:c>
      <x:c r="D76" s="245" t="inlineStr">
        <x:is>
          <x:t xml:space="preserve">AI-only</x:t>
        </x:is>
      </x:c>
    </x:row>
    <x:row r="77">
      <x:c r="A77" s="245" t="inlineStr">
        <x:is>
          <x:t xml:space="preserve">Tue 20 Oct</x:t>
        </x:is>
      </x:c>
      <x:c r="B77" s="245" t="inlineStr">
        <x:is>
          <x:t xml:space="preserve">Full AI chat panel saved as a project entry and exported to Word; AI Import for all six project types using OpenRouter/OpenAI</x:t>
        </x:is>
      </x:c>
      <x:c r="C77" s="245" t="inlineStr">
        <x:is>
          <x:t xml:space="preserve">Bugs: AI chat export / To Be Implemented: AI import</x:t>
        </x:is>
      </x:c>
      <x:c r="D77" s="245" t="inlineStr">
        <x:is>
          <x:t xml:space="preserve">AI-only</x:t>
        </x:is>
      </x:c>
    </x:row>
    <x:row r="78">
      <x:c r="A78" s="245" t="inlineStr">
        <x:is>
          <x:t xml:space="preserve">Tue 20 Oct</x:t>
        </x:is>
      </x:c>
      <x:c r="B78" s="245" t="inlineStr">
        <x:is>
          <x:t xml:space="preserve">docs/AI_PROVIDER_COMPLIANCE.md lists exactly OpenRouter and OpenAI as supported</x:t>
        </x:is>
      </x:c>
      <x:c r="C78" s="245" t="inlineStr">
        <x:is>
          <x:t xml:space="preserve">docs/AI_PROVIDER_COMPLIANCE.md</x:t>
        </x:is>
      </x:c>
      <x:c r="D78" s="245" t="inlineStr">
        <x:is>
          <x:t xml:space="preserve">AI-only</x:t>
        </x:is>
      </x:c>
    </x:row>
    <x:row r="79">
      <x:c r="A79" s="245" t="inlineStr">
        <x:is>
          <x:t xml:space="preserve">Tue 20 Oct</x:t>
        </x:is>
      </x:c>
      <x:c r="B79" s="245" t="inlineStr">
        <x:is>
          <x:t xml:space="preserve">Close the Project-type gate and Product acceptance evidence for all six types</x:t>
        </x:is>
      </x:c>
      <x:c r="C79" s="245" t="inlineStr">
        <x:is>
          <x:t xml:space="preserve">Project-type gate</x:t>
        </x:is>
      </x:c>
      <x:c r="D79" s="245" t="inlineStr">
        <x:is>
          <x:t xml:space="preserve">AI-only</x:t>
        </x:is>
      </x:c>
    </x:row>
    <x:row r="80">
      <x:c r="A80" s="245" t="inlineStr">
        <x:is>
          <x:t xml:space="preserve">Wed 21 Oct</x:t>
        </x:is>
      </x:c>
      <x:c r="B80" s="245" t="inlineStr">
        <x:is>
          <x:t xml:space="preserve">AI provider scope (D5/D9): every mention outside OpenRouter and OpenAI is removed from Pricing, FAQ, Features, AI overview page, llms.txt, onboarding, emails and docs/AI_PROVIDER_COMPLIANCE.md; the in-app provider picker labels the others 'not tested / not officially supported'</x:t>
        </x:is>
      </x:c>
      <x:c r="C80" s="245" t="inlineStr">
        <x:is>
          <x:t xml:space="preserve">Launch Required / owner decision 2026-09-30</x:t>
        </x:is>
      </x:c>
      <x:c r="D80" s="245" t="inlineStr">
        <x:is>
          <x:t xml:space="preserve">AI-only</x:t>
        </x:is>
      </x:c>
    </x:row>
    <x:row r="81">
      <x:c r="A81" s="245" t="inlineStr">
        <x:is>
          <x:t xml:space="preserve">Wed 21 Oct</x:t>
        </x:is>
      </x:c>
      <x:c r="B81" s="245" t="inlineStr">
        <x:is>
          <x:t xml:space="preserve">Resolve every item in marketing-copy-review/COPY_CONFLICTS.md and verify Homepage, Pricing, Features, FAQ, Download, Founders, SEO pages, emails, legal modal, llms.txt, schema and Checkout say the same facts</x:t>
        </x:is>
      </x:c>
      <x:c r="C81" s="245" t="inlineStr">
        <x:is>
          <x:t xml:space="preserve">QA_PLAN Priority -1 / Marketing gate</x:t>
        </x:is>
      </x:c>
      <x:c r="D81" s="245" t="inlineStr">
        <x:is>
          <x:t xml:space="preserve">AI-only</x:t>
        </x:is>
      </x:c>
    </x:row>
    <x:row r="82">
      <x:c r="A82" s="245" t="inlineStr">
        <x:is>
          <x:t xml:space="preserve">Wed 21 Oct</x:t>
        </x:is>
      </x:c>
      <x:c r="B82" s="245" t="inlineStr">
        <x:is>
          <x:t xml:space="preserve">Remove player/public-discovery implications from D&amp;D/TTRPG copy (shared projects, player portals, VTT and mobile apps are excluded)</x:t>
        </x:is>
      </x:c>
      <x:c r="C82" s="245" t="inlineStr">
        <x:is>
          <x:t xml:space="preserve">QA_PLAN Priority -1: Marketing</x:t>
        </x:is>
      </x:c>
      <x:c r="D82" s="245" t="inlineStr">
        <x:is>
          <x:t xml:space="preserve">AI-only</x:t>
        </x:is>
      </x:c>
    </x:row>
    <x:row r="83">
      <x:c r="A83" s="245" t="inlineStr">
        <x:is>
          <x:t xml:space="preserve">Wed 21 Oct</x:t>
        </x:is>
      </x:c>
      <x:c r="B83" s="245" t="inlineStr">
        <x:is>
          <x:t xml:space="preserve">SEO deployment and Search Console sitemap validation; landing page defects</x:t>
        </x:is>
      </x:c>
      <x:c r="C83" s="245" t="inlineStr">
        <x:is>
          <x:t xml:space="preserve">Conditional Launch Scope: SEO basics, Landing page</x:t>
        </x:is>
      </x:c>
      <x:c r="D83" s="245" t="inlineStr">
        <x:is>
          <x:t xml:space="preserve">O11</x:t>
        </x:is>
      </x:c>
    </x:row>
    <x:row r="84">
      <x:c r="A84" s="245" t="inlineStr">
        <x:is>
          <x:t xml:space="preserve">Wed 21 Oct</x:t>
        </x:is>
      </x:c>
      <x:c r="B84" s="245" t="inlineStr">
        <x:is>
          <x:t xml:space="preserve">Legal and promise gate: Terms/Privacy final owner review, Beta 30-day notice wording, Local Mode/expiry/quota promises</x:t>
        </x:is>
      </x:c>
      <x:c r="C84" s="245" t="inlineStr">
        <x:is>
          <x:t xml:space="preserve">Legal and promise gate</x:t>
        </x:is>
      </x:c>
      <x:c r="D84" s="245" t="inlineStr">
        <x:is>
          <x:t xml:space="preserve">AI-only</x:t>
        </x:is>
      </x:c>
    </x:row>
    <x:row r="85">
      <x:c r="A85" s="245" t="inlineStr">
        <x:is>
          <x:t xml:space="preserve">Thu 22 Oct</x:t>
        </x:is>
      </x:c>
      <x:c r="B85" s="245" t="inlineStr">
        <x:is>
          <x:t xml:space="preserve">Durable Stripe event ledger: replay every supported event at least 3 times; entitlements, dates, Founder counts, emails change exactly once</x:t>
        </x:is>
      </x:c>
      <x:c r="C85" s="245" t="inlineStr">
        <x:is>
          <x:t xml:space="preserve">QA_PLAN Priority -1: Billing</x:t>
        </x:is>
      </x:c>
      <x:c r="D85" s="245" t="inlineStr">
        <x:is>
          <x:t xml:space="preserve">AI-only</x:t>
        </x:is>
      </x:c>
    </x:row>
    <x:row r="86">
      <x:c r="A86" s="245" t="inlineStr">
        <x:is>
          <x:t xml:space="preserve">Thu 22 Oct</x:t>
        </x:is>
      </x:c>
      <x:c r="B86" s="245" t="str">
        <x:v>Price/entitlement matrix (GBP 10 / 50 / 75 / 6) matches Stripe test Price objects and Checkout line items; no separate purchasable Founder plan</x:v>
      </x:c>
      <x:c r="C86" s="245" t="inlineStr">
        <x:is>
          <x:t xml:space="preserve">QA_PLAN Priority -1: Billing</x:t>
        </x:is>
      </x:c>
      <x:c r="D86" s="245" t="inlineStr">
        <x:is>
          <x:t xml:space="preserve">AI-only</x:t>
        </x:is>
      </x:c>
    </x:row>
    <x:row r="87">
      <x:c r="A87" s="245" t="inlineStr">
        <x:is>
          <x:t xml:space="preserve">Thu 22 Oct</x:t>
        </x:is>
      </x:c>
      <x:c r="B87" s="245" t="inlineStr">
        <x:is>
          <x:t xml:space="preserve">Remove/migrate the temporary paid-interest 'coming soon' flow and its automatic Beta entitlement; real checkout CTAs behind a launch switch</x:t>
        </x:is>
      </x:c>
      <x:c r="C87" s="245" t="inlineStr">
        <x:is>
          <x:t xml:space="preserve">PAYMENT_ROADMAP section 3 / QA_PLAN Priority -1</x:t>
        </x:is>
      </x:c>
      <x:c r="D87" s="245" t="inlineStr">
        <x:is>
          <x:t xml:space="preserve">AI-only</x:t>
        </x:is>
      </x:c>
    </x:row>
    <x:row r="88">
      <x:c r="A88" s="245" t="inlineStr">
        <x:is>
          <x:t xml:space="preserve">Thu 22 Oct</x:t>
        </x:is>
      </x:c>
      <x:c r="B88" s="245" t="str">
        <x:v>Founding Lifetime concurrency: checkout holds and successful payments never award more than 100 Founder positions; purchase 101 uses Standard Lifetime automatically</x:v>
      </x:c>
      <x:c r="C88" s="245" t="inlineStr">
        <x:is>
          <x:t xml:space="preserve">QA_PLAN Priority -1: Billing</x:t>
        </x:is>
      </x:c>
      <x:c r="D88" s="245" t="inlineStr">
        <x:is>
          <x:t xml:space="preserve">AI-only</x:t>
        </x:is>
      </x:c>
    </x:row>
    <x:row r="89">
      <x:c r="A89" s="245" t="inlineStr">
        <x:is>
          <x:t xml:space="preserve">Thu 22 Oct</x:t>
        </x:is>
      </x:c>
      <x:c r="B89" s="245" t="inlineStr">
        <x:is>
          <x:t xml:space="preserve">Prepare the exact Vercel test-mode secrets swap and return-to-live checklist (names only, never values)</x:t>
        </x:is>
      </x:c>
      <x:c r="C89" s="245" t="inlineStr">
        <x:is>
          <x:t xml:space="preserve">PAYMENT_ROADMAP section 2</x:t>
        </x:is>
      </x:c>
      <x:c r="D89" s="245" t="inlineStr">
        <x:is>
          <x:t xml:space="preserve">O12</x:t>
        </x:is>
      </x:c>
    </x:row>
    <x:row r="90">
      <x:c r="A90" s="245" t="inlineStr">
        <x:is>
          <x:t xml:space="preserve">Fri 23 Oct</x:t>
        </x:is>
      </x:c>
      <x:c r="B90" s="245" t="str">
        <x:v>GBP 6 hosting renewal plus remaining checkout cancellation/expiration, failed/async payment and out-of-order webhook checks</x:v>
      </x:c>
      <x:c r="C90" s="245" t="inlineStr">
        <x:is>
          <x:t xml:space="preserve">PAYMENT_ROADMAP section 2 steps 10-11</x:t>
        </x:is>
      </x:c>
      <x:c r="D90" s="245" t="inlineStr">
        <x:is>
          <x:t xml:space="preserve">AI-only</x:t>
        </x:is>
      </x:c>
    </x:row>
    <x:row r="91">
      <x:c r="A91" s="245" t="inlineStr">
        <x:is>
          <x:t xml:space="preserve">Fri 23 Oct</x:t>
        </x:is>
      </x:c>
      <x:c r="B91" s="245" t="inlineStr">
        <x:is>
          <x:t xml:space="preserve">Live-account QA of the 'Downgrade to Free' fix for manually-upgraded accounts and real Stripe portal unaffected</x:t>
        </x:is>
      </x:c>
      <x:c r="C91" s="245" t="inlineStr">
        <x:is>
          <x:t xml:space="preserve">PAYMENT_ROADMAP section 2 step 12</x:t>
        </x:is>
      </x:c>
      <x:c r="D91" s="245" t="inlineStr">
        <x:is>
          <x:t xml:space="preserve">AI-only</x:t>
        </x:is>
      </x:c>
    </x:row>
    <x:row r="92">
      <x:c r="A92" s="245" t="inlineStr">
        <x:is>
          <x:t xml:space="preserve">Sat 24 Oct</x:t>
        </x:is>
      </x:c>
      <x:c r="B92" s="245" t="inlineStr">
        <x:is>
          <x:t xml:space="preserve">Return-to-live prepared: swap back to live secrets/prices/webhook is a written one-step runbook; live configuration review without a purchase</x:t>
        </x:is>
      </x:c>
      <x:c r="C92" s="245" t="inlineStr">
        <x:is>
          <x:t xml:space="preserve">PAYMENT_ROADMAP section 2 step 13</x:t>
        </x:is>
      </x:c>
      <x:c r="D92" s="245" t="inlineStr">
        <x:is>
          <x:t xml:space="preserve">O12</x:t>
        </x:is>
      </x:c>
    </x:row>
    <x:row r="93">
      <x:c r="A93" s="245" t="inlineStr">
        <x:is>
          <x:t xml:space="preserve">Sat 24 Oct</x:t>
        </x:is>
      </x:c>
      <x:c r="B93" s="245" t="inlineStr">
        <x:is>
          <x:t xml:space="preserve">Prepared release sets YOW_BETA_ENROLLMENT_CLOSED=true and stamps beta_notice_started_at to the launch timestamp; existing testers keep access/exports</x:t>
        </x:is>
      </x:c>
      <x:c r="C93" s="245" t="inlineStr">
        <x:is>
          <x:t xml:space="preserve">Owner launch handoff: Beta</x:t>
        </x:is>
      </x:c>
      <x:c r="D93" s="245" t="inlineStr">
        <x:is>
          <x:t xml:space="preserve">O13</x:t>
        </x:is>
      </x:c>
    </x:row>
    <x:row r="94">
      <x:c r="A94" s="245" t="inlineStr">
        <x:is>
          <x:t xml:space="preserve">Sat 24 Oct</x:t>
        </x:is>
      </x:c>
      <x:c r="B94" s="245" t="inlineStr">
        <x:is>
          <x:t xml:space="preserve">Support inbox and email checks: support@ and founders@ receive and can reply; welcome/reset emails come from the right sender</x:t>
        </x:is>
      </x:c>
      <x:c r="C94" s="245" t="inlineStr">
        <x:is>
          <x:t xml:space="preserve">Owner launch handoff: Support/privacy</x:t>
        </x:is>
      </x:c>
      <x:c r="D94" s="245" t="inlineStr">
        <x:is>
          <x:t xml:space="preserve">O14</x:t>
        </x:is>
      </x:c>
    </x:row>
    <x:row r="95">
      <x:c r="A95" s="245" t="inlineStr">
        <x:is>
          <x:t xml:space="preserve">Fri 30 Oct</x:t>
        </x:is>
      </x:c>
      <x:c r="B95" s="245" t="inlineStr">
        <x:is>
          <x:t xml:space="preserve">Final Launch Readiness Gate table update: every gate Passed with evidence or an explicit re-decision; production-deploy checks queued for 1 Nov</x:t>
        </x:is>
      </x:c>
      <x:c r="C95" s="245" t="inlineStr">
        <x:is>
          <x:t xml:space="preserve">Launch Readiness Gate</x:t>
        </x:is>
      </x:c>
      <x:c r="D95" s="245" t="inlineStr">
        <x:is>
          <x:t xml:space="preserve">AI-only</x:t>
        </x:is>
      </x:c>
    </x:row>
    <x:row r="96">
      <x:c r="A96" s="245" t="inlineStr">
        <x:is>
          <x:t xml:space="preserve">Sat 31 Oct</x:t>
        </x:is>
      </x:c>
      <x:c r="B96" s="245" t="inlineStr">
        <x:is>
          <x:t xml:space="preserve">Supabase and project backups taken and restore-tested; checkout-disable switch and rollback tested on the rehearsal</x:t>
        </x:is>
      </x:c>
      <x:c r="C96" s="245" t="inlineStr">
        <x:is>
          <x:t xml:space="preserve">QA_PLAN Priority 12</x:t>
        </x:is>
      </x:c>
      <x:c r="D96" s="245" t="inlineStr">
        <x:is>
          <x:t xml:space="preserve">AI-only</x:t>
        </x:is>
      </x:c>
    </x:row>
    <x:row r="97">
      <x:c r="A97" s="245" t="inlineStr">
        <x:is>
          <x:t xml:space="preserve">Sun 1 Nov</x:t>
        </x:is>
      </x:c>
      <x:c r="B97" s="245" t="inlineStr">
        <x:is>
          <x:t xml:space="preserve">Post-deploy production checks: security headers, canonical redirect, Founder slot display, checkout, entitlement, save/export</x:t>
        </x:is>
      </x:c>
      <x:c r="C97" s="245" t="inlineStr">
        <x:is>
          <x:t xml:space="preserve">QA_PLAN Priority 11-12</x:t>
        </x:is>
      </x:c>
      <x:c r="D97" s="245" t="inlineStr">
        <x:is>
          <x:t xml:space="preserve">O15</x:t>
        </x:is>
      </x:c>
    </x:row>
    <x:row r="98">
      <x:c r="A98" s="245" t="inlineStr">
        <x:is>
          <x:t xml:space="preserve">Mon 2 Nov</x:t>
        </x:is>
      </x:c>
      <x:c r="B98" s="245" t="inlineStr">
        <x:is>
          <x:t xml:space="preserve">Search Console/analytics/support monitoring active; approved marketing prepared for the owner to publish</x:t>
        </x:is>
      </x:c>
      <x:c r="C98" s="245" t="inlineStr">
        <x:is>
          <x:t xml:space="preserve">Launch plan</x:t>
        </x:is>
      </x:c>
      <x:c r="D98" s="245" t="inlineStr">
        <x:is>
          <x:t xml:space="preserve">AI-only</x:t>
        </x:is>
      </x:c>
    </x:row>
  </x:sheetData>
  <x:pageMargins left="0.7" right="0.7" top="0.75" bottom="0.75" header="0.3" footer="0.3"/>
</x:worksheet>
</file>

<file path=xl/worksheets/sheet8.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6" customWidth="1"/>
    <x:col min="2" max="2" width="80" customWidth="1"/>
    <x:col min="3" max="3" width="30" customWidth="1"/>
    <x:col min="4" max="4" width="10" customWidth="1"/>
    <x:col min="5" max="5" width="12" customWidth="1"/>
    <x:col min="6" max="6" width="12" customWidth="1"/>
    <x:col min="7" max="7" width="10" customWidth="1"/>
    <x:col min="8" max="8" width="13" customWidth="1"/>
    <x:col min="9" max="9" width="40" customWidth="1"/>
  </x:cols>
  <x:sheetData>
    <x:row r="1">
      <x:c r="A1" s="243" t="inlineStr">
        <x:is>
          <x:t xml:space="preserve">Owner overflow — extra checks that need you, each scheduled on a day with spare time. "Deadline" is the latest date it can still be done without delaying a gate.</x:t>
        </x:is>
      </x:c>
    </x:row>
    <x:row r="3">
      <x:c r="A3" s="244" t="inlineStr">
        <x:is>
          <x:t xml:space="preserve">ID</x:t>
        </x:is>
      </x:c>
      <x:c r="B3" s="244" t="inlineStr">
        <x:is>
          <x:t xml:space="preserve">What you do (AI prepares one-step instructions first)</x:t>
        </x:is>
      </x:c>
      <x:c r="C3" s="244" t="inlineStr">
        <x:is>
          <x:t xml:space="preserve">Needs</x:t>
        </x:is>
      </x:c>
      <x:c r="D3" s="244" t="inlineStr">
        <x:is>
          <x:t xml:space="preserve">Est. minutes</x:t>
        </x:is>
      </x:c>
      <x:c r="E3" s="244" t="inlineStr">
        <x:is>
          <x:t xml:space="preserve">Scheduled day</x:t>
        </x:is>
      </x:c>
      <x:c r="F3" s="244" t="inlineStr">
        <x:is>
          <x:t xml:space="preserve">Deadline</x:t>
        </x:is>
      </x:c>
      <x:c r="G3" s="244" t="inlineStr">
        <x:is>
          <x:t xml:space="preserve">Hard gate?</x:t>
        </x:is>
      </x:c>
      <x:c r="H3" s="244" t="inlineStr">
        <x:is>
          <x:t xml:space="preserve">Status</x:t>
        </x:is>
      </x:c>
      <x:c r="I3" s="244" t="inlineStr">
        <x:is>
          <x:t xml:space="preserve">Notes / evidence</x:t>
        </x:is>
      </x:c>
    </x:row>
    <x:row r="4">
      <x:c r="A4" s="245" t="inlineStr">
        <x:is>
          <x:t xml:space="preserve">O01</x:t>
        </x:is>
      </x:c>
      <x:c r="B4" s="245" t="inlineStr">
        <x:is>
          <x:t xml:space="preserve">Create a brand-new test account and walk the first-run flow: sample-project prompt, exactly one Sample Project, tours dismissed stay dismissed on a fresh browser, clean AI setup message.</x:t>
        </x:is>
      </x:c>
      <x:c r="C4" s="245" t="inlineStr">
        <x:is>
          <x:t xml:space="preserve">Test alias email + second browser</x:t>
        </x:is>
      </x:c>
      <x:c r="D4" s="245" t="n">
        <x:v>40</x:v>
      </x:c>
      <x:c r="E4" s="246" t="n">
        <x:v>46298</x:v>
      </x:c>
      <x:c r="F4" s="246" t="n">
        <x:v>46299</x:v>
      </x:c>
      <x:c r="G4" s="245" t="inlineStr">
        <x:is>
          <x:t xml:space="preserve">Yes</x:t>
        </x:is>
      </x:c>
      <x:c r="H4" s="245" t="inlineStr">
        <x:is>
          <x:t xml:space="preserve">Done</x:t>
        </x:is>
      </x:c>
      <x:c r="I4" s="245" t="inlineStr">
        <x:is>
          <x:t xml:space="preserve">Owner-attested 30 Sep: fresh-account flow already run many times; no formal step-by-step evidence saved. Accepted as passed by owner decision.</x:t>
        </x:is>
      </x:c>
    </x:row>
    <x:row r="5">
      <x:c r="A5" s="245" t="inlineStr">
        <x:is>
          <x:t xml:space="preserve">O02</x:t>
        </x:is>
      </x:c>
      <x:c r="B5" s="245" t="inlineStr">
        <x:is>
          <x:t xml:space="preserve">Supabase dashboard: switch on leaked-password protection (if your plan offers it). The AI handles the duplicate scenes-policy clean-up separately.</x:t>
        </x:is>
      </x:c>
      <x:c r="C5" s="245" t="inlineStr">
        <x:is>
          <x:t xml:space="preserve">Supabase dashboard (guided)</x:t>
        </x:is>
      </x:c>
      <x:c r="D5" s="245" t="n">
        <x:v>15</x:v>
      </x:c>
      <x:c r="E5" s="246" t="n">
        <x:v>46298</x:v>
      </x:c>
      <x:c r="F5" s="246" t="n">
        <x:v>46304</x:v>
      </x:c>
      <x:c r="G5" s="245" t="inlineStr">
        <x:is>
          <x:t xml:space="preserve">No</x:t>
        </x:is>
      </x:c>
      <x:c r="H5" s="245" t="inlineStr">
        <x:is>
          <x:t xml:space="preserve">Done</x:t>
        </x:is>
      </x:c>
      <x:c r="I5" s="245" t="inlineStr">
        <x:is>
          <x:t xml:space="preserve">Leaked-password protection not offered on current plan (owner 30 Sep). Accepted Advisor warning; AI verifies password policy on 9 Oct.</x:t>
        </x:is>
      </x:c>
    </x:row>
    <x:row r="6">
      <x:c r="A6" s="245" t="inlineStr">
        <x:is>
          <x:t xml:space="preserve">O03</x:t>
        </x:is>
      </x:c>
      <x:c r="B6" s="245" t="inlineStr">
        <x:is>
          <x:t xml:space="preserve">Supabase read-only check after deleting a disposable project: confirm zero scene rows remain for it.</x:t>
        </x:is>
      </x:c>
      <x:c r="C6" s="245" t="inlineStr">
        <x:is>
          <x:t xml:space="preserve">Supabase dashboard (guided, read-only)</x:t>
        </x:is>
      </x:c>
      <x:c r="D6" s="245" t="n">
        <x:v>10</x:v>
      </x:c>
      <x:c r="E6" s="246" t="n">
        <x:v>46298</x:v>
      </x:c>
      <x:c r="F6" s="246" t="n">
        <x:v>46300</x:v>
      </x:c>
      <x:c r="G6" s="245" t="inlineStr">
        <x:is>
          <x:t xml:space="preserve">Yes</x:t>
        </x:is>
      </x:c>
      <x:c r="H6" s="245" t="inlineStr">
        <x:is>
          <x:t xml:space="preserve">Not started</x:t>
        </x:is>
      </x:c>
      <x:c r="I6" s="245" t="inlineStr">
        <x:is>
          <x:t xml:space="preserve"/>
        </x:is>
      </x:c>
    </x:row>
    <x:row r="7">
      <x:c r="A7" s="245" t="inlineStr">
        <x:is>
          <x:t xml:space="preserve">O14</x:t>
        </x:is>
      </x:c>
      <x:c r="B7" s="245" t="inlineStr">
        <x:is>
          <x:t xml:space="preserve">Send a test email to support@yourownworld.co.uk and founders@yourownworld.co.uk, reply from each mailbox, and confirm both arrive and the reply shows the right sender.</x:t>
        </x:is>
      </x:c>
      <x:c r="C7" s="245" t="inlineStr">
        <x:is>
          <x:t xml:space="preserve">Your mailboxes</x:t>
        </x:is>
      </x:c>
      <x:c r="D7" s="245" t="n">
        <x:v>15</x:v>
      </x:c>
      <x:c r="E7" s="246" t="n">
        <x:v>46298</x:v>
      </x:c>
      <x:c r="F7" s="246" t="n">
        <x:v>46324</x:v>
      </x:c>
      <x:c r="G7" s="245" t="inlineStr">
        <x:is>
          <x:t xml:space="preserve">No</x:t>
        </x:is>
      </x:c>
      <x:c r="H7" s="245" t="inlineStr">
        <x:is>
          <x:t xml:space="preserve">Done</x:t>
        </x:is>
      </x:c>
      <x:c r="I7" s="245" t="inlineStr">
        <x:is>
          <x:t xml:space="preserve">Both test emails arrived; reply sender showed 'Morgan Bishop, yourownworld.admin@gmail.com' instead of the support@/founders@ address. Follow-up O16.</x:t>
        </x:is>
      </x:c>
    </x:row>
    <x:row r="8">
      <x:c r="A8" s="245" t="inlineStr">
        <x:is>
          <x:t xml:space="preserve">O16</x:t>
        </x:is>
      </x:c>
      <x:c r="B8" s="245" t="inlineStr">
        <x:is>
          <x:t xml:space="preserve">Make replies from support@ and founders@ show the YOW address: add both as Gmail 'Send mail as' aliases that send through Resend SMTP (Cloudflare Email Routing only receives). Steps are in the Do Now sheet.</x:t>
        </x:is>
      </x:c>
      <x:c r="C8" s="245" t="inlineStr">
        <x:is>
          <x:t xml:space="preserve">Gmail settings + domain mail setup</x:t>
        </x:is>
      </x:c>
      <x:c r="D8" s="245" t="n">
        <x:v>20</x:v>
      </x:c>
      <x:c r="E8" s="246" t="n">
        <x:v>46298</x:v>
      </x:c>
      <x:c r="F8" s="246" t="n">
        <x:v>46324</x:v>
      </x:c>
      <x:c r="G8" s="245" t="inlineStr">
        <x:is>
          <x:t xml:space="preserve">No</x:t>
        </x:is>
      </x:c>
      <x:c r="H8" s="245" t="inlineStr">
        <x:is>
          <x:t xml:space="preserve">Not started</x:t>
        </x:is>
      </x:c>
      <x:c r="I8" s="245" t="inlineStr">
        <x:is>
          <x:t xml:space="preserve"/>
        </x:is>
      </x:c>
    </x:row>
    <x:row r="9">
      <x:c r="A9" s="245" t="inlineStr">
        <x:is>
          <x:t xml:space="preserve">O04</x:t>
        </x:is>
      </x:c>
      <x:c r="B9" s="245" t="inlineStr">
        <x:is>
          <x:t xml:space="preserve">Two real browser tabs on the same test account: structured-record clobber test and the same-scene race repro.</x:t>
        </x:is>
      </x:c>
      <x:c r="C9" s="245" t="inlineStr">
        <x:is>
          <x:t xml:space="preserve">Two tabs, test account</x:t>
        </x:is>
      </x:c>
      <x:c r="D9" s="245" t="n">
        <x:v>30</x:v>
      </x:c>
      <x:c r="E9" s="246" t="n">
        <x:v>46300</x:v>
      </x:c>
      <x:c r="F9" s="246" t="n">
        <x:v>46300</x:v>
      </x:c>
      <x:c r="G9" s="245" t="inlineStr">
        <x:is>
          <x:t xml:space="preserve">Yes</x:t>
        </x:is>
      </x:c>
      <x:c r="H9" s="245" t="inlineStr">
        <x:is>
          <x:t xml:space="preserve">Not started</x:t>
        </x:is>
      </x:c>
      <x:c r="I9" s="245" t="inlineStr">
        <x:is>
          <x:t xml:space="preserve"/>
        </x:is>
      </x:c>
    </x:row>
    <x:row r="10">
      <x:c r="A10" s="245" t="inlineStr">
        <x:is>
          <x:t xml:space="preserve">O05</x:t>
        </x:is>
      </x:c>
      <x:c r="B10" s="245" t="inlineStr">
        <x:is>
          <x:t xml:space="preserve">Live rate-limit check: send 6 feedback requests from one connection, confirm the 6th is refused and the block clears.</x:t>
        </x:is>
      </x:c>
      <x:c r="C10" s="245" t="inlineStr">
        <x:is>
          <x:t xml:space="preserve">Production site (guided)</x:t>
        </x:is>
      </x:c>
      <x:c r="D10" s="245" t="n">
        <x:v>20</x:v>
      </x:c>
      <x:c r="E10" s="246" t="n">
        <x:v>46300</x:v>
      </x:c>
      <x:c r="F10" s="246" t="n">
        <x:v>46300</x:v>
      </x:c>
      <x:c r="G10" s="245" t="inlineStr">
        <x:is>
          <x:t xml:space="preserve">No</x:t>
        </x:is>
      </x:c>
      <x:c r="H10" s="245" t="inlineStr">
        <x:is>
          <x:t xml:space="preserve">Not started</x:t>
        </x:is>
      </x:c>
      <x:c r="I10" s="245" t="inlineStr">
        <x:is>
          <x:t xml:space="preserve"/>
        </x:is>
      </x:c>
    </x:row>
    <x:row r="11">
      <x:c r="A11" s="245" t="inlineStr">
        <x:is>
          <x:t xml:space="preserve">O06</x:t>
        </x:is>
      </x:c>
      <x:c r="B11" s="245" t="inlineStr">
        <x:is>
          <x:t xml:space="preserve">Arrange a clean Windows PC (or rented cloud Windows PC) for 17 Oct and tell me the Windows version.</x:t>
        </x:is>
      </x:c>
      <x:c r="C11" s="245" t="inlineStr">
        <x:is>
          <x:t xml:space="preserve">Windows machine</x:t>
        </x:is>
      </x:c>
      <x:c r="D11" s="245" t="n">
        <x:v>60</x:v>
      </x:c>
      <x:c r="E11" s="246" t="n">
        <x:v>46305</x:v>
      </x:c>
      <x:c r="F11" s="246" t="n">
        <x:v>46305</x:v>
      </x:c>
      <x:c r="G11" s="245" t="inlineStr">
        <x:is>
          <x:t xml:space="preserve">Yes</x:t>
        </x:is>
      </x:c>
      <x:c r="H11" s="245" t="inlineStr">
        <x:is>
          <x:t xml:space="preserve">Done</x:t>
        </x:is>
      </x:c>
      <x:c r="I11" s="245" t="inlineStr">
        <x:is>
          <x:t xml:space="preserve">Owner has a real Windows PC with admin rights (30 Sep). Exact Windows version to be read with winver before 17 Oct.</x:t>
        </x:is>
      </x:c>
    </x:row>
    <x:row r="12">
      <x:c r="A12" s="245" t="inlineStr">
        <x:is>
          <x:t xml:space="preserve">O08</x:t>
        </x:is>
      </x:c>
      <x:c r="B12" s="245" t="inlineStr">
        <x:is>
          <x:t xml:space="preserve">Upload larger images to a disposable project on a real account and confirm the storage figure and cap behaviour.</x:t>
        </x:is>
      </x:c>
      <x:c r="C12" s="245" t="inlineStr">
        <x:is>
          <x:t xml:space="preserve">Test account</x:t>
        </x:is>
      </x:c>
      <x:c r="D12" s="245" t="n">
        <x:v>20</x:v>
      </x:c>
      <x:c r="E12" s="246" t="n">
        <x:v>46305</x:v>
      </x:c>
      <x:c r="F12" s="246" t="n">
        <x:v>46309</x:v>
      </x:c>
      <x:c r="G12" s="245" t="inlineStr">
        <x:is>
          <x:t xml:space="preserve">Yes</x:t>
        </x:is>
      </x:c>
      <x:c r="H12" s="245" t="inlineStr">
        <x:is>
          <x:t xml:space="preserve">Not started</x:t>
        </x:is>
      </x:c>
      <x:c r="I12" s="245" t="inlineStr">
        <x:is>
          <x:t xml:space="preserve"/>
        </x:is>
      </x:c>
    </x:row>
    <x:row r="13">
      <x:c r="A13" s="245" t="inlineStr">
        <x:is>
          <x:t xml:space="preserve">O09</x:t>
        </x:is>
      </x:c>
      <x:c r="B13" s="245" t="inlineStr">
        <x:is>
          <x:t xml:space="preserve">On a real account with a two-project series, check Characters, Locations, Lore and Timeline sync forward to the second project.</x:t>
        </x:is>
      </x:c>
      <x:c r="C13" s="245" t="inlineStr">
        <x:is>
          <x:t xml:space="preserve">Test account with a series</x:t>
        </x:is>
      </x:c>
      <x:c r="D13" s="245" t="n">
        <x:v>45</x:v>
      </x:c>
      <x:c r="E13" s="246" t="n">
        <x:v>46305</x:v>
      </x:c>
      <x:c r="F13" s="246" t="n">
        <x:v>46311</x:v>
      </x:c>
      <x:c r="G13" s="245" t="inlineStr">
        <x:is>
          <x:t xml:space="preserve">No</x:t>
        </x:is>
      </x:c>
      <x:c r="H13" s="245" t="inlineStr">
        <x:is>
          <x:t xml:space="preserve">Not started</x:t>
        </x:is>
      </x:c>
      <x:c r="I13" s="245" t="inlineStr">
        <x:is>
          <x:t xml:space="preserve"/>
        </x:is>
      </x:c>
    </x:row>
    <x:row r="14">
      <x:c r="A14" s="245" t="inlineStr">
        <x:is>
          <x:t xml:space="preserve">O10</x:t>
        </x:is>
      </x:c>
      <x:c r="B14" s="245" t="inlineStr">
        <x:is>
          <x:t xml:space="preserve">Firefox and Safari passes at phone/tablet/desktop widths plus a VoiceOver and keyboard-only run. Runs inside the 18 Oct device blocks.</x:t>
        </x:is>
      </x:c>
      <x:c r="C14" s="245" t="inlineStr">
        <x:is>
          <x:t xml:space="preserve">Firefox, Safari, VoiceOver</x:t>
        </x:is>
      </x:c>
      <x:c r="D14" s="245" t="n">
        <x:v>90</x:v>
      </x:c>
      <x:c r="E14" s="246" t="n">
        <x:v>46313</x:v>
      </x:c>
      <x:c r="F14" s="246" t="n">
        <x:v>46313</x:v>
      </x:c>
      <x:c r="G14" s="245" t="inlineStr">
        <x:is>
          <x:t xml:space="preserve">No</x:t>
        </x:is>
      </x:c>
      <x:c r="H14" s="245" t="inlineStr">
        <x:is>
          <x:t xml:space="preserve">Not started</x:t>
        </x:is>
      </x:c>
      <x:c r="I14" s="245" t="inlineStr">
        <x:is>
          <x:t xml:space="preserve"/>
        </x:is>
      </x:c>
    </x:row>
    <x:row r="15">
      <x:c r="A15" s="245" t="inlineStr">
        <x:is>
          <x:t xml:space="preserve">O07</x:t>
        </x:is>
      </x:c>
      <x:c r="B15" s="245" t="inlineStr">
        <x:is>
          <x:t xml:space="preserve">Your own OpenRouter and OpenAI keys (never pasted into chat): DM/GM framing, key isolation across two accounts, context controls. Runs inside the 19-20 Oct owner blocks. Other providers are not tested.</x:t>
        </x:is>
      </x:c>
      <x:c r="C15" s="245" t="inlineStr">
        <x:is>
          <x:t xml:space="preserve">Your AI key + two test accounts</x:t>
        </x:is>
      </x:c>
      <x:c r="D15" s="245" t="n">
        <x:v>60</x:v>
      </x:c>
      <x:c r="E15" s="246" t="n">
        <x:v>46314</x:v>
      </x:c>
      <x:c r="F15" s="246" t="n">
        <x:v>46315</x:v>
      </x:c>
      <x:c r="G15" s="245" t="inlineStr">
        <x:is>
          <x:t xml:space="preserve">Yes</x:t>
        </x:is>
      </x:c>
      <x:c r="H15" s="245" t="inlineStr">
        <x:is>
          <x:t xml:space="preserve">Not started</x:t>
        </x:is>
      </x:c>
      <x:c r="I15" s="245" t="inlineStr">
        <x:is>
          <x:t xml:space="preserve"/>
        </x:is>
      </x:c>
    </x:row>
    <x:row r="16">
      <x:c r="A16" s="245" t="inlineStr">
        <x:is>
          <x:t xml:space="preserve">O11</x:t>
        </x:is>
      </x:c>
      <x:c r="B16" s="245" t="inlineStr">
        <x:is>
          <x:t xml:space="preserve">Search Console: confirm the sitemap is read after deploy and request indexing for the key pages.</x:t>
        </x:is>
      </x:c>
      <x:c r="C16" s="245" t="inlineStr">
        <x:is>
          <x:t xml:space="preserve">Search Console</x:t>
        </x:is>
      </x:c>
      <x:c r="D16" s="245" t="n">
        <x:v>10</x:v>
      </x:c>
      <x:c r="E16" s="246" t="n">
        <x:v>46319</x:v>
      </x:c>
      <x:c r="F16" s="246" t="n">
        <x:v>46321</x:v>
      </x:c>
      <x:c r="G16" s="245" t="inlineStr">
        <x:is>
          <x:t xml:space="preserve">No</x:t>
        </x:is>
      </x:c>
      <x:c r="H16" s="245" t="inlineStr">
        <x:is>
          <x:t xml:space="preserve">Not started</x:t>
        </x:is>
      </x:c>
      <x:c r="I16" s="245" t="inlineStr">
        <x:is>
          <x:t xml:space="preserve"/>
        </x:is>
      </x:c>
    </x:row>
    <x:row r="17">
      <x:c r="A17" s="245" t="inlineStr">
        <x:is>
          <x:t xml:space="preserve">O12</x:t>
        </x:is>
      </x:c>
      <x:c r="B17" s="245" t="inlineStr">
        <x:is>
          <x:t xml:space="preserve">Stripe and Vercel dashboards (guided, names only): confirm live keys/prices/webhook events are ready for launch, without a purchase.</x:t>
        </x:is>
      </x:c>
      <x:c r="C17" s="245" t="inlineStr">
        <x:is>
          <x:t xml:space="preserve">Stripe + Vercel dashboards</x:t>
        </x:is>
      </x:c>
      <x:c r="D17" s="245" t="n">
        <x:v>30</x:v>
      </x:c>
      <x:c r="E17" s="246" t="n">
        <x:v>46320</x:v>
      </x:c>
      <x:c r="F17" s="246" t="n">
        <x:v>46324</x:v>
      </x:c>
      <x:c r="G17" s="245" t="inlineStr">
        <x:is>
          <x:t xml:space="preserve">Yes</x:t>
        </x:is>
      </x:c>
      <x:c r="H17" s="245" t="inlineStr">
        <x:is>
          <x:t xml:space="preserve">Not started</x:t>
        </x:is>
      </x:c>
      <x:c r="I17" s="245" t="inlineStr">
        <x:is>
          <x:t xml:space="preserve"/>
        </x:is>
      </x:c>
    </x:row>
    <x:row r="18">
      <x:c r="A18" s="245" t="inlineStr">
        <x:is>
          <x:t xml:space="preserve">O13</x:t>
        </x:is>
      </x:c>
      <x:c r="B18" s="245" t="inlineStr">
        <x:is>
          <x:t xml:space="preserve">Vercel: confirm the Beta-close setting exists (name only, do not enable it yet) and approve the Beta-close timestamp plan.</x:t>
        </x:is>
      </x:c>
      <x:c r="C18" s="245" t="inlineStr">
        <x:is>
          <x:t xml:space="preserve">Vercel dashboard (guided)</x:t>
        </x:is>
      </x:c>
      <x:c r="D18" s="245" t="n">
        <x:v>10</x:v>
      </x:c>
      <x:c r="E18" s="246" t="n">
        <x:v>46320</x:v>
      </x:c>
      <x:c r="F18" s="246" t="n">
        <x:v>46324</x:v>
      </x:c>
      <x:c r="G18" s="245" t="inlineStr">
        <x:is>
          <x:t xml:space="preserve">Yes</x:t>
        </x:is>
      </x:c>
      <x:c r="H18" s="245" t="inlineStr">
        <x:is>
          <x:t xml:space="preserve">Not started</x:t>
        </x:is>
      </x:c>
      <x:c r="I18" s="245" t="inlineStr">
        <x:is>
          <x:t xml:space="preserve"/>
        </x:is>
      </x:c>
    </x:row>
    <x:row r="19">
      <x:c r="A19" s="245" t="inlineStr">
        <x:is>
          <x:t xml:space="preserve">O15</x:t>
        </x:is>
      </x:c>
      <x:c r="B19" s="245" t="inlineStr">
        <x:is>
          <x:t xml:space="preserve">After deploy on 1 Nov: open the live site DevTools and confirm headers, the www redirect, and one Founder slot display.</x:t>
        </x:is>
      </x:c>
      <x:c r="C19" s="245" t="inlineStr">
        <x:is>
          <x:t xml:space="preserve">Production site (guided)</x:t>
        </x:is>
      </x:c>
      <x:c r="D19" s="245" t="n">
        <x:v>15</x:v>
      </x:c>
      <x:c r="E19" s="246" t="n">
        <x:v>46327</x:v>
      </x:c>
      <x:c r="F19" s="246" t="n">
        <x:v>46327</x:v>
      </x:c>
      <x:c r="G19" s="245" t="inlineStr">
        <x:is>
          <x:t xml:space="preserve">Yes</x:t>
        </x:is>
      </x:c>
      <x:c r="H19" s="245" t="inlineStr">
        <x:is>
          <x:t xml:space="preserve">Not started</x:t>
        </x:is>
      </x:c>
      <x:c r="I19" s="245" t="inlineStr">
        <x:is>
          <x:t xml:space="preserve"/>
        </x:is>
      </x:c>
    </x:row>
    <x:row r="20">
      <x:c r="A20" s="245" t="inlineStr">
        <x:is>
          <x:t xml:space="preserve">O17</x:t>
        </x:is>
      </x:c>
      <x:c r="B20" s="245" t="inlineStr">
        <x:is>
          <x:t xml:space="preserve">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x:t>
        </x:is>
      </x:c>
      <x:c r="C20" s="245" t="inlineStr">
        <x:is>
          <x:t xml:space="preserve">Two Free test accounts + Supabase SQL editor + Vercel cron Run button (guided)</x:t>
        </x:is>
      </x:c>
      <x:c r="D20" s="245" t="n">
        <x:v>60</x:v>
      </x:c>
      <x:c r="E20" s="246" t="n">
        <x:v>46298</x:v>
      </x:c>
      <x:c r="F20" s="246" t="n">
        <x:v>46300</x:v>
      </x:c>
      <x:c r="G20" s="245" t="inlineStr">
        <x:is>
          <x:t xml:space="preserve">Yes</x:t>
        </x:is>
      </x:c>
      <x:c r="H20" s="245" t="inlineStr">
        <x:is>
          <x:t xml:space="preserve">Done</x:t>
        </x:is>
      </x:c>
      <x:c r="I20" s="245" t="inlineStr">
        <x:is>
          <x:t xml:space="preserve">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x:t>
        </x:is>
      </x:c>
    </x:row>
    <x:row r="21">
      <x:c r="C21" t="inlineStr">
        <x:is>
          <x:t xml:space="preserve">Total minutes</x:t>
        </x:is>
      </x:c>
      <x:c r="D21" t="n">
        <x:f>SUM(D4:D20)</x:f>
        <x:v>550</x:v>
      </x:c>
    </x:row>
    <x:row r="22">
      <x:c r="C22" t="inlineStr">
        <x:is>
          <x:t xml:space="preserve">Remaining minutes</x:t>
        </x:is>
      </x:c>
      <x:c r="D22" t="n">
        <x:f>SUMIF(H4:H20,"&lt;&gt;Done",D4:D20)</x:f>
        <x:v>360</x:v>
      </x:c>
    </x:row>
  </x:sheetData>
  <x:dataValidations count="1">
    <x:dataValidation type="list" allowBlank="1" showDropDown="0" showInputMessage="0" showErrorMessage="0" sqref="H4:H19">
      <x:formula1>"Not started,In progress,Done,Blocked"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6" customWidth="1"/>
    <x:col min="2" max="2" width="80" customWidth="1"/>
    <x:col min="3" max="3" width="55" customWidth="1"/>
    <x:col min="4" max="4" width="12" customWidth="1"/>
    <x:col min="5" max="5" width="30" customWidth="1"/>
    <x:col min="6" max="6" width="10" customWidth="1"/>
  </x:cols>
  <x:sheetData>
    <x:row r="1">
      <x:c r="A1" s="243" t="inlineStr">
        <x:is>
          <x:t xml:space="preserve">Decisions only you can make — with my recommended default. If you do not answer by the date, the AI proceeds with the default.</x:t>
        </x:is>
      </x:c>
    </x:row>
    <x:row r="3">
      <x:c r="A3" s="244" t="inlineStr">
        <x:is>
          <x:t xml:space="preserve">ID</x:t>
        </x:is>
      </x:c>
      <x:c r="B3" s="244" t="inlineStr">
        <x:is>
          <x:t xml:space="preserve">Decision</x:t>
        </x:is>
      </x:c>
      <x:c r="C3" s="244" t="inlineStr">
        <x:is>
          <x:t xml:space="preserve">Recommended default</x:t>
        </x:is>
      </x:c>
      <x:c r="D3" s="244" t="inlineStr">
        <x:is>
          <x:t xml:space="preserve">Decide by</x:t>
        </x:is>
      </x:c>
      <x:c r="E3" s="244" t="inlineStr">
        <x:is>
          <x:t xml:space="preserve">Your decision</x:t>
        </x:is>
      </x:c>
      <x:c r="F3" s="244" t="inlineStr">
        <x:is>
          <x:t xml:space="preserve">Status</x:t>
        </x:is>
      </x:c>
    </x:row>
    <x:row r="4">
      <x:c r="A4" s="245" t="inlineStr">
        <x:is>
          <x:t xml:space="preserve">D5</x:t>
        </x:is>
      </x:c>
      <x:c r="B4" s="245" t="inlineStr">
        <x:is>
          <x:t xml:space="preserve">Which AI providers does launch advertise?</x:t>
        </x:is>
      </x:c>
      <x:c r="C4" s="245" t="inlineStr">
        <x:is>
          <x:t xml:space="preserve">OpenRouter and OpenAI only.</x:t>
        </x:is>
      </x:c>
      <x:c r="D4" s="246" t="n">
        <x:v>46295</x:v>
      </x:c>
      <x:c r="E4" s="245" t="inlineStr">
        <x:is>
          <x:t xml:space="preserve">Advertise and support only OpenRouter and OpenAI (the providers the owner can access and test). Other providers are not advertised, not live-tested, and labelled 'not tested' in the app (default treatment, see D9).</x:t>
        </x:is>
      </x:c>
      <x:c r="F4" s="245" t="inlineStr">
        <x:is>
          <x:t xml:space="preserve">Decided</x:t>
        </x:is>
      </x:c>
    </x:row>
    <x:row r="5">
      <x:c r="A5" s="245" t="inlineStr">
        <x:is>
          <x:t xml:space="preserve">D2</x:t>
        </x:is>
      </x:c>
      <x:c r="B5" s="245" t="inlineStr">
        <x:is>
          <x:t xml:space="preserve">JavaScript type checking, React-compiler warnings and stricter CI gates: do they block launch?</x:t>
        </x:is>
      </x:c>
      <x:c r="C5" s="245" t="inlineStr">
        <x:is>
          <x:t xml:space="preserve">Park until after launch; quality hardening, not one of the seven blocker categories.</x:t>
        </x:is>
      </x:c>
      <x:c r="D5" s="246" t="n">
        <x:v>46298</x:v>
      </x:c>
      <x:c r="E5" s="245" t="inlineStr">
        <x:is>
          <x:t xml:space="preserve">Accepted default: parked until after launch.</x:t>
        </x:is>
      </x:c>
      <x:c r="F5" s="245" t="inlineStr">
        <x:is>
          <x:t xml:space="preserve">Decided</x:t>
        </x:is>
      </x:c>
    </x:row>
    <x:row r="6">
      <x:c r="A6" s="245" t="inlineStr">
        <x:is>
          <x:t xml:space="preserve">D3</x:t>
        </x:is>
      </x:c>
      <x:c r="B6" s="245" t="inlineStr">
        <x:is>
          <x:t xml:space="preserve">Desktop vault encryption at rest: encrypt, or launch unencrypted with clear disclosure?</x:t>
        </x:is>
      </x:c>
      <x:c r="C6" s="245" t="inlineStr">
        <x:is>
          <x:t xml:space="preserve">Launch with disclosure and record the decision; revisit later.</x:t>
        </x:is>
      </x:c>
      <x:c r="D6" s="246" t="n">
        <x:v>46301</x:v>
      </x:c>
      <x:c r="E6" s="245" t="inlineStr">
        <x:is>
          <x:t xml:space="preserve">Accepted default: launch with disclosure; record the decision.</x:t>
        </x:is>
      </x:c>
      <x:c r="F6" s="245" t="inlineStr">
        <x:is>
          <x:t xml:space="preserve">Decided</x:t>
        </x:is>
      </x:c>
    </x:row>
    <x:row r="7">
      <x:c r="A7" s="245" t="inlineStr">
        <x:is>
          <x:t xml:space="preserve">D1</x:t>
        </x:is>
      </x:c>
      <x:c r="B7" s="245" t="inlineStr">
        <x:is>
          <x:t xml:space="preserve">A very large scene (30k+ words) with a note attached types slowly. Fixing it properly is a large change. Build it, or launch with a documented soft limit and in-app warning?</x:t>
        </x:is>
      </x:c>
      <x:c r="C7" s="245" t="inlineStr">
        <x:is>
          <x:t xml:space="preserve">Ship a documented limit and warning; keep the large fix for after launch (not a data-loss or broken-save blocker).</x:t>
        </x:is>
      </x:c>
      <x:c r="D7" s="246" t="n">
        <x:v>46307</x:v>
      </x:c>
      <x:c r="E7" s="245" t="inlineStr">
        <x:is>
          <x:t xml:space="preserve">Accepted default: ship a documented limit and in-app warning for very large scenes; full fix after launch.</x:t>
        </x:is>
      </x:c>
      <x:c r="F7" s="245" t="inlineStr">
        <x:is>
          <x:t xml:space="preserve">Decided</x:t>
        </x:is>
      </x:c>
    </x:row>
    <x:row r="8">
      <x:c r="A8" s="245" t="inlineStr">
        <x:is>
          <x:t xml:space="preserve">D4</x:t>
        </x:is>
      </x:c>
      <x:c r="B8" s="245" t="inlineStr">
        <x:is>
          <x:t xml:space="preserve">If Windows fails its clean-machine test on 17 Oct: delay launch, or launch Mac-only with Windows following?</x:t>
        </x:is>
      </x:c>
      <x:c r="C8" s="245" t="inlineStr">
        <x:is>
          <x:t xml:space="preserve">Decide now; Lifetime is promised for macOS and Windows. Recommended: delay only if Windows data-loss/save/export fails; otherwise fix and retest in the buffer.</x:t>
        </x:is>
      </x:c>
      <x:c r="D8" s="246" t="n">
        <x:v>46311</x:v>
      </x:c>
      <x:c r="E8" s="245" t="inlineStr">
        <x:is>
          <x:t xml:space="preserve">Accepted default: delay only if Windows data-loss/save/export fails; otherwise fix and retest in the buffer.</x:t>
        </x:is>
      </x:c>
      <x:c r="F8" s="245" t="inlineStr">
        <x:is>
          <x:t xml:space="preserve">Decided</x:t>
        </x:is>
      </x:c>
    </x:row>
    <x:row r="9">
      <x:c r="A9" s="245" t="inlineStr">
        <x:is>
          <x:t xml:space="preserve">D9</x:t>
        </x:is>
      </x:c>
      <x:c r="B9" s="245" t="inlineStr">
        <x:is>
          <x:t xml:space="preserve">Follow-on to D5: what happens to the other providers already in the app (Google, Anthropic, Groq, Mistral, Together)?</x:t>
        </x:is>
      </x:c>
      <x:c r="C9" s="245" t="inlineStr">
        <x:is>
          <x:t xml:space="preserve">Keep working but labelled 'not tested / not officially supported'; nothing advertised. (Alternative: hide them.)</x:t>
        </x:is>
      </x:c>
      <x:c r="D9" s="246" t="n">
        <x:v>46311</x:v>
      </x:c>
      <x:c r="E9" s="245" t="inlineStr">
        <x:is>
          <x:t xml:space="preserve">Accepted default (follow-on to D5): keep the other providers' code working but label them 'not tested / not officially supported' in the AI settings picker and remove them from all marketing and docs. Owner can instead ask for them to be hidden.</x:t>
        </x:is>
      </x:c>
      <x:c r="F9" s="245" t="inlineStr">
        <x:is>
          <x:t xml:space="preserve">Decided</x:t>
        </x:is>
      </x:c>
    </x:row>
    <x:row r="10">
      <x:c r="A10" s="245" t="inlineStr">
        <x:is>
          <x:t xml:space="preserve">D10</x:t>
        </x:is>
      </x:c>
      <x:c r="B10" s="245" t="inlineStr">
        <x:is>
          <x:t xml:space="preserve">Replies to customers currently come from yourownworld.admin@gmail.com (shown as 'Morgan Bishop'), not support@/founders@yourownworld.co.uk, which the Terms and Privacy pages publish. Fix before launch, or accept?</x:t>
        </x:is>
      </x:c>
      <x:c r="C10" s="245" t="inlineStr">
        <x:is>
          <x:t xml:space="preserve">Fix before launch (O16): it keeps the published support address consistent and avoids replies landing in spam.</x:t>
        </x:is>
      </x:c>
      <x:c r="D10" s="246" t="n">
        <x:v>46315</x:v>
      </x:c>
      <x:c r="E10" s="245" t="inlineStr">
        <x:is>
          <x:t xml:space="preserve">Fix before launch (owner confirmed 30 Sep). Done via O16 once the owner says how support@ receives mail.</x:t>
        </x:is>
      </x:c>
      <x:c r="F10" s="245" t="inlineStr">
        <x:is>
          <x:t xml:space="preserve">Decided</x:t>
        </x:is>
      </x:c>
    </x:row>
    <x:row r="11">
      <x:c r="A11" s="245" t="inlineStr">
        <x:is>
          <x:t xml:space="preserve">D8</x:t>
        </x:is>
      </x:c>
      <x:c r="B11" s="245" t="inlineStr">
        <x:is>
          <x:t xml:space="preserve">Resume Stripe work: the roadmap parked payments (18 Sep); this sprint schedules 21-24 Oct for it.</x:t>
        </x:is>
      </x:c>
      <x:c r="C11" s="245" t="inlineStr">
        <x:is>
          <x:t xml:space="preserve">Confirm; PAYMENT_ROADMAP.md stays the Stripe tracker while the sprint drives the schedule.</x:t>
        </x:is>
      </x:c>
      <x:c r="D11" s="246" t="n">
        <x:v>46315</x:v>
      </x:c>
      <x:c r="E11" s="245" t="inlineStr">
        <x:is>
          <x:t xml:space="preserve">Accepted default: Stripe work resumes 21-25 Oct; PAYMENT_ROADMAP.md stays the tracker.</x:t>
        </x:is>
      </x:c>
      <x:c r="F11" s="245" t="inlineStr">
        <x:is>
          <x:t xml:space="preserve">Decided</x:t>
        </x:is>
      </x:c>
    </x:row>
    <x:row r="12">
      <x:c r="A12" s="245" t="inlineStr">
        <x:is>
          <x:t xml:space="preserve">D7</x:t>
        </x:is>
      </x:c>
      <x:c r="B12" s="245" t="inlineStr">
        <x:is>
          <x:t xml:space="preserve">Remove the temporary 'Paid plans are coming soon' interest flow when checkout goes live?</x:t>
        </x:is>
      </x:c>
      <x:c r="C12" s="245" t="inlineStr">
        <x:is>
          <x:t xml:space="preserve">Yes, remove it; it grants automatic Beta access and conflicts with real checkout.</x:t>
        </x:is>
      </x:c>
      <x:c r="D12" s="246" t="n">
        <x:v>46316</x:v>
      </x:c>
      <x:c r="E12" s="245" t="inlineStr">
        <x:is>
          <x:t xml:space="preserve">Accepted default: remove the 'coming soon' interest flow when checkout goes live.</x:t>
        </x:is>
      </x:c>
      <x:c r="F12" s="245" t="inlineStr">
        <x:is>
          <x:t xml:space="preserve">Decided</x:t>
        </x:is>
      </x:c>
    </x:row>
    <x:row r="13">
      <x:c r="A13" s="245" t="inlineStr">
        <x:is>
          <x:t xml:space="preserve">D6</x:t>
        </x:is>
      </x:c>
      <x:c r="B13" s="245" t="inlineStr">
        <x:is>
          <x:t xml:space="preserve">Latest date you would still accept a launch slip, and the fallback date.</x:t>
        </x:is>
      </x:c>
      <x:c r="C13" s="245" t="inlineStr">
        <x:is>
          <x:t xml:space="preserve">Pick a cut-off by 25 Oct so nothing is decided under pressure. Launch stays 1-2 Nov unless a gate fails.</x:t>
        </x:is>
      </x:c>
      <x:c r="D13" s="246" t="n">
        <x:v>46320</x:v>
      </x:c>
      <x:c r="E13" s="245" t="inlineStr">
        <x:is>
          <x:t xml:space="preserve">Accepted default: launch date is fixed at 1 Nov (quiet release; public 2 Nov). Owner to name a fallback date by 25 Oct.</x:t>
        </x:is>
      </x:c>
      <x:c r="F13" s="245" t="inlineStr">
        <x:is>
          <x:t xml:space="preserve">Decided</x:t>
        </x:is>
      </x:c>
    </x:row>
  </x:sheetData>
  <x:dataValidations count="1">
    <x:dataValidation type="list" allowBlank="1" showDropDown="0" showInputMessage="0" showErrorMessage="0" sqref="F4:F13">
      <x:formula1>"Open,Decided"</x:formula1>
    </x:dataValidation>
  </x:dataValidations>
  <x:pageMargins left="0.7" right="0.7" top="0.75" bottom="0.75" header="0.3" footer="0.3"/>
</x:worksheet>
</file>
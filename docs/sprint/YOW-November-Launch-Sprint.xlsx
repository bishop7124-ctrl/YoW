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tart Here" sheetId="1" state="visible" r:id="rId1"/>
    <sheet xmlns:r="http://schemas.openxmlformats.org/officeDocument/2006/relationships" name="Open Items" sheetId="2" state="visible" r:id="rId2"/>
    <sheet xmlns:r="http://schemas.openxmlformats.org/officeDocument/2006/relationships" name="Plan from 1 Oct" sheetId="3" state="visible" r:id="rId3"/>
    <sheet xmlns:r="http://schemas.openxmlformats.org/officeDocument/2006/relationships" name="Daily Guide" sheetId="4" state="visible" r:id="rId4"/>
    <sheet xmlns:r="http://schemas.openxmlformats.org/officeDocument/2006/relationships" name="Calendar" sheetId="5" state="visible" r:id="rId5"/>
    <sheet xmlns:r="http://schemas.openxmlformats.org/officeDocument/2006/relationships" name="Glossary" sheetId="6" state="visible" r:id="rId6"/>
    <sheet xmlns:r="http://schemas.openxmlformats.org/officeDocument/2006/relationships" name="Roadmap Map" sheetId="7" state="visible" r:id="rId7"/>
    <sheet xmlns:r="http://schemas.openxmlformats.org/officeDocument/2006/relationships" name="Owner Overflow" sheetId="8" state="visible" r:id="rId8"/>
    <sheet xmlns:r="http://schemas.openxmlformats.org/officeDocument/2006/relationships" name="Decisions" sheetId="9" state="visible" r:id="rId9"/>
  </sheets>
  <definedNames/>
</workbook>
</file>

<file path=xl/styles.xml><?xml version="1.0" encoding="utf-8"?>
<styleSheet xmlns="http://schemas.openxmlformats.org/spreadsheetml/2006/main">
  <numFmts count="1">
    <numFmt numFmtId="164" formatCode="ddd d mmm"/>
  </numFmts>
  <fonts count="13">
    <font>
      <name val="Carlito"/>
      <sz val="11"/>
    </font>
    <font>
      <name val="Arial"/>
      <b val="1"/>
      <color rgb="FF17324D"/>
      <sz val="16"/>
    </font>
    <font>
      <name val="Arial"/>
      <i val="1"/>
      <color rgb="FF566573"/>
      <sz val="10"/>
    </font>
    <font>
      <name val="Arial"/>
      <b val="1"/>
      <color rgb="FFFFFFFF"/>
      <sz val="11"/>
    </font>
    <font>
      <name val="Arial"/>
      <color rgb="FF243442"/>
      <sz val="10"/>
    </font>
    <font>
      <name val="Arial"/>
      <b val="1"/>
      <color rgb="FF17324D"/>
      <sz val="10"/>
    </font>
    <font>
      <name val="Arial"/>
      <b val="1"/>
      <color rgb="FF17324D"/>
      <sz val="11"/>
    </font>
    <font>
      <name val="Arial"/>
      <color rgb="FF5A4625"/>
      <sz val="10"/>
    </font>
    <font>
      <name val="Arial"/>
      <b val="1"/>
      <color rgb="FFFFFFFF"/>
      <sz val="10"/>
    </font>
    <font>
      <name val="Arial"/>
      <color rgb="FF243442"/>
      <sz val="9"/>
    </font>
    <font>
      <b val="1"/>
      <sz val="13"/>
    </font>
    <font>
      <b val="1"/>
      <color rgb="00FFFFFF"/>
    </font>
    <font>
      <b val="1"/>
    </font>
  </fonts>
  <fills count="16">
    <fill>
      <patternFill/>
    </fill>
    <fill>
      <patternFill patternType="gray125"/>
    </fill>
    <fill>
      <patternFill patternType="solid">
        <fgColor rgb="FF17324D"/>
      </patternFill>
    </fill>
    <fill>
      <patternFill patternType="solid">
        <fgColor rgb="FFF7F9FA"/>
      </patternFill>
    </fill>
    <fill>
      <patternFill patternType="solid">
        <fgColor rgb="FFF3F6F8"/>
      </patternFill>
    </fill>
    <fill>
      <patternFill patternType="solid">
        <fgColor rgb="FFFFF7E6"/>
      </patternFill>
    </fill>
    <fill>
      <patternFill patternType="solid">
        <fgColor rgb="FFDCEAF7"/>
      </patternFill>
    </fill>
    <fill>
      <patternFill patternType="solid">
        <fgColor rgb="FFE9E1F5"/>
      </patternFill>
    </fill>
    <fill>
      <patternFill patternType="solid">
        <fgColor rgb="FFFCE8E6"/>
      </patternFill>
    </fill>
    <fill>
      <patternFill patternType="solid">
        <fgColor rgb="FFDFF1E8"/>
      </patternFill>
    </fill>
    <fill>
      <patternFill patternType="solid">
        <fgColor rgb="FFFDF1D5"/>
      </patternFill>
    </fill>
    <fill>
      <patternFill patternType="solid">
        <fgColor rgb="FFD4E8E6"/>
      </patternFill>
    </fill>
    <fill>
      <patternFill patternType="solid">
        <fgColor rgb="FFB9DED7"/>
      </patternFill>
    </fill>
    <fill>
      <patternFill patternType="solid">
        <fgColor rgb="FFFFFFFF"/>
      </patternFill>
    </fill>
    <fill>
      <patternFill patternType="solid">
        <fgColor rgb="FFF3EEF9"/>
      </patternFill>
    </fill>
    <fill>
      <patternFill patternType="solid">
        <fgColor rgb="001F4E5F"/>
      </patternFill>
    </fill>
  </fills>
  <borders count="29">
    <border/>
    <border>
      <left style="thin">
        <color rgb="FFC9D3DC"/>
      </left>
      <top style="thin">
        <color rgb="FFC9D3DC"/>
      </top>
    </border>
    <border>
      <top style="thin">
        <color rgb="FFC9D3DC"/>
      </top>
    </border>
    <border>
      <right style="thin">
        <color rgb="FFC9D3DC"/>
      </right>
      <top style="thin">
        <color rgb="FFC9D3DC"/>
      </top>
    </border>
    <border>
      <left style="thin">
        <color rgb="FFC9D3DC"/>
      </left>
    </border>
    <border>
      <right style="thin">
        <color rgb="FFC9D3DC"/>
      </right>
    </border>
    <border>
      <left style="thin">
        <color rgb="FFC9D3DC"/>
      </left>
      <bottom style="thin">
        <color rgb="FFC9D3DC"/>
      </bottom>
    </border>
    <border>
      <bottom style="thin">
        <color rgb="FFC9D3DC"/>
      </bottom>
    </border>
    <border>
      <right style="thin">
        <color rgb="FFC9D3DC"/>
      </right>
      <bottom style="thin">
        <color rgb="FFC9D3DC"/>
      </bottom>
    </border>
    <border>
      <left style="thin">
        <color rgb="FFE8C980"/>
      </left>
      <top style="thin">
        <color rgb="FFE8C980"/>
      </top>
    </border>
    <border>
      <top style="thin">
        <color rgb="FFE8C980"/>
      </top>
    </border>
    <border>
      <right style="thin">
        <color rgb="FFE8C980"/>
      </right>
      <top style="thin">
        <color rgb="FFE8C980"/>
      </top>
    </border>
    <border>
      <left style="thin">
        <color rgb="FFE8C980"/>
      </left>
    </border>
    <border>
      <right style="thin">
        <color rgb="FFE8C980"/>
      </right>
    </border>
    <border>
      <left style="thin">
        <color rgb="FFE8C980"/>
      </left>
      <bottom style="thin">
        <color rgb="FFE8C980"/>
      </bottom>
    </border>
    <border>
      <bottom style="thin">
        <color rgb="FFE8C980"/>
      </bottom>
    </border>
    <border>
      <right style="thin">
        <color rgb="FFE8C980"/>
      </right>
      <bottom style="thin">
        <color rgb="FFE8C980"/>
      </bottom>
    </border>
    <border>
      <bottom style="thin">
        <color rgb="FFDDE3E8"/>
      </bottom>
    </border>
    <border>
      <top style="thin">
        <color rgb="FFDDE3E8"/>
      </top>
      <bottom style="thin">
        <color rgb="FFDDE3E8"/>
      </bottom>
    </border>
    <border>
      <top style="thin">
        <color rgb="FFDDE3E8"/>
      </top>
      <bottom style="thin">
        <color rgb="FFAAB7C2"/>
      </bottom>
    </border>
    <border>
      <left style="thin">
        <color rgb="FFAAB7C2"/>
      </left>
      <top style="thin">
        <color rgb="FFAAB7C2"/>
      </top>
      <bottom style="thin">
        <color rgb="FFAAB7C2"/>
      </bottom>
    </border>
    <border>
      <top style="thin">
        <color rgb="FFAAB7C2"/>
      </top>
      <bottom style="thin">
        <color rgb="FFAAB7C2"/>
      </bottom>
    </border>
    <border>
      <right style="thin">
        <color rgb="FFAAB7C2"/>
      </right>
      <top style="thin">
        <color rgb="FFAAB7C2"/>
      </top>
      <bottom style="thin">
        <color rgb="FFAAB7C2"/>
      </bottom>
    </border>
    <border>
      <top style="thin">
        <color rgb="FFDDE3E8"/>
      </top>
    </border>
    <border>
      <left style="thin">
        <color rgb="FFC9D3DC"/>
      </left>
      <right style="thin">
        <color rgb="FFC9D3DC"/>
      </right>
      <top style="thin">
        <color rgb="FFC9D3DC"/>
      </top>
      <bottom style="thin">
        <color rgb="FFC9D3DC"/>
      </bottom>
    </border>
    <border>
      <left style="thin">
        <color rgb="FFE8C980"/>
      </left>
      <right style="thin">
        <color rgb="FFE8C980"/>
      </right>
      <top style="thin">
        <color rgb="FFE8C980"/>
      </top>
      <bottom style="thin">
        <color rgb="FFE8C980"/>
      </bottom>
    </border>
    <border>
      <left style="thin">
        <color rgb="FFAAB7C2"/>
      </left>
      <right style="thin">
        <color rgb="FFAAB7C2"/>
      </right>
      <top style="thin">
        <color rgb="FFAAB7C2"/>
      </top>
      <bottom style="thin">
        <color rgb="FFAAB7C2"/>
      </bottom>
    </border>
    <border>
      <top style="thin">
        <color rgb="FFAAB7C2"/>
      </top>
    </border>
    <border>
      <right style="thin">
        <color rgb="FFAAB7C2"/>
      </right>
      <top style="thin">
        <color rgb="FFAAB7C2"/>
      </top>
    </border>
  </borders>
  <cellStyleXfs count="1">
    <xf numFmtId="0" fontId="0" fillId="0" borderId="0"/>
  </cellStyleXfs>
  <cellXfs count="271">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3" fillId="2" borderId="0" pivotButton="0" quotePrefix="0" xfId="0"/>
    <xf numFmtId="0" fontId="3" fillId="2" borderId="0" applyAlignment="1" pivotButton="0" quotePrefix="0" xfId="0">
      <alignment vertical="center"/>
    </xf>
    <xf numFmtId="0" fontId="0" fillId="3" borderId="0" pivotButton="0" quotePrefix="0" xfId="0"/>
    <xf numFmtId="0" fontId="4" fillId="3" borderId="0" pivotButton="0" quotePrefix="0" xfId="0"/>
    <xf numFmtId="0" fontId="4" fillId="3" borderId="1" pivotButton="0" quotePrefix="0" xfId="0"/>
    <xf numFmtId="0" fontId="4" fillId="3" borderId="2" pivotButton="0" quotePrefix="0" xfId="0"/>
    <xf numFmtId="0" fontId="4" fillId="3" borderId="3" pivotButton="0" quotePrefix="0" xfId="0"/>
    <xf numFmtId="0" fontId="4" fillId="3" borderId="4" pivotButton="0" quotePrefix="0" xfId="0"/>
    <xf numFmtId="0" fontId="4" fillId="3" borderId="5" pivotButton="0" quotePrefix="0" xfId="0"/>
    <xf numFmtId="0" fontId="4" fillId="3" borderId="6" pivotButton="0" quotePrefix="0" xfId="0"/>
    <xf numFmtId="0" fontId="4" fillId="3" borderId="7" pivotButton="0" quotePrefix="0" xfId="0"/>
    <xf numFmtId="0" fontId="4" fillId="3" borderId="8" pivotButton="0" quotePrefix="0" xfId="0"/>
    <xf numFmtId="0" fontId="4" fillId="3" borderId="1" applyAlignment="1" pivotButton="0" quotePrefix="0" xfId="0">
      <alignment wrapText="1"/>
    </xf>
    <xf numFmtId="0" fontId="4" fillId="3" borderId="2" applyAlignment="1" pivotButton="0" quotePrefix="0" xfId="0">
      <alignment wrapText="1"/>
    </xf>
    <xf numFmtId="0" fontId="4" fillId="3" borderId="3" applyAlignment="1" pivotButton="0" quotePrefix="0" xfId="0">
      <alignment wrapText="1"/>
    </xf>
    <xf numFmtId="0" fontId="4" fillId="3" borderId="4" applyAlignment="1" pivotButton="0" quotePrefix="0" xfId="0">
      <alignment wrapText="1"/>
    </xf>
    <xf numFmtId="0" fontId="4" fillId="3" borderId="0" applyAlignment="1" pivotButton="0" quotePrefix="0" xfId="0">
      <alignment wrapText="1"/>
    </xf>
    <xf numFmtId="0" fontId="4" fillId="3" borderId="5" applyAlignment="1" pivotButton="0" quotePrefix="0" xfId="0">
      <alignment wrapText="1"/>
    </xf>
    <xf numFmtId="0" fontId="4" fillId="3" borderId="6" applyAlignment="1" pivotButton="0" quotePrefix="0" xfId="0">
      <alignment wrapText="1"/>
    </xf>
    <xf numFmtId="0" fontId="4" fillId="3" borderId="7" applyAlignment="1" pivotButton="0" quotePrefix="0" xfId="0">
      <alignment wrapText="1"/>
    </xf>
    <xf numFmtId="0" fontId="4" fillId="3" borderId="8" applyAlignment="1" pivotButton="0" quotePrefix="0" xfId="0">
      <alignment wrapText="1"/>
    </xf>
    <xf numFmtId="0" fontId="4" fillId="3" borderId="1" applyAlignment="1" pivotButton="0" quotePrefix="0" xfId="0">
      <alignment vertical="top" wrapText="1"/>
    </xf>
    <xf numFmtId="0" fontId="4" fillId="3" borderId="2" applyAlignment="1" pivotButton="0" quotePrefix="0" xfId="0">
      <alignment vertical="top" wrapText="1"/>
    </xf>
    <xf numFmtId="0" fontId="4" fillId="3" borderId="3" applyAlignment="1" pivotButton="0" quotePrefix="0" xfId="0">
      <alignment vertical="top" wrapText="1"/>
    </xf>
    <xf numFmtId="0" fontId="4" fillId="3" borderId="4" applyAlignment="1" pivotButton="0" quotePrefix="0" xfId="0">
      <alignment vertical="top" wrapText="1"/>
    </xf>
    <xf numFmtId="0" fontId="4" fillId="3" borderId="0" applyAlignment="1" pivotButton="0" quotePrefix="0" xfId="0">
      <alignment vertical="top" wrapText="1"/>
    </xf>
    <xf numFmtId="0" fontId="4" fillId="3" borderId="5" applyAlignment="1" pivotButton="0" quotePrefix="0" xfId="0">
      <alignment vertical="top" wrapText="1"/>
    </xf>
    <xf numFmtId="0" fontId="4" fillId="3" borderId="6" applyAlignment="1" pivotButton="0" quotePrefix="0" xfId="0">
      <alignment vertical="top" wrapText="1"/>
    </xf>
    <xf numFmtId="0" fontId="4" fillId="3" borderId="7" applyAlignment="1" pivotButton="0" quotePrefix="0" xfId="0">
      <alignment vertical="top" wrapText="1"/>
    </xf>
    <xf numFmtId="0" fontId="4" fillId="3" borderId="8" applyAlignment="1" pivotButton="0" quotePrefix="0" xfId="0">
      <alignment vertical="top" wrapText="1"/>
    </xf>
    <xf numFmtId="9" fontId="0" fillId="0" borderId="0" pivotButton="0" quotePrefix="0" xfId="0"/>
    <xf numFmtId="0" fontId="5" fillId="0" borderId="0" pivotButton="0" quotePrefix="0" xfId="0"/>
    <xf numFmtId="0" fontId="6" fillId="0" borderId="0" pivotButton="0" quotePrefix="0" xfId="0"/>
    <xf numFmtId="9" fontId="6" fillId="0" borderId="0" pivotButton="0" quotePrefix="0" xfId="0"/>
    <xf numFmtId="0" fontId="5" fillId="4" borderId="0" pivotButton="0" quotePrefix="0" xfId="0"/>
    <xf numFmtId="0" fontId="6" fillId="4" borderId="0" pivotButton="0" quotePrefix="0" xfId="0"/>
    <xf numFmtId="9" fontId="6" fillId="4" borderId="0" pivotButton="0" quotePrefix="0" xfId="0"/>
    <xf numFmtId="0" fontId="5" fillId="4" borderId="1" pivotButton="0" quotePrefix="0" xfId="0"/>
    <xf numFmtId="0" fontId="6" fillId="4" borderId="3" pivotButton="0" quotePrefix="0" xfId="0"/>
    <xf numFmtId="0" fontId="5" fillId="4" borderId="4" pivotButton="0" quotePrefix="0" xfId="0"/>
    <xf numFmtId="0" fontId="6" fillId="4" borderId="5" pivotButton="0" quotePrefix="0" xfId="0"/>
    <xf numFmtId="0" fontId="5" fillId="4" borderId="6" pivotButton="0" quotePrefix="0" xfId="0"/>
    <xf numFmtId="9" fontId="6" fillId="4" borderId="8" pivotButton="0" quotePrefix="0" xfId="0"/>
    <xf numFmtId="0" fontId="0" fillId="5" borderId="0" pivotButton="0" quotePrefix="0" xfId="0"/>
    <xf numFmtId="0" fontId="7" fillId="5" borderId="0" pivotButton="0" quotePrefix="0" xfId="0"/>
    <xf numFmtId="0" fontId="7" fillId="5" borderId="9" pivotButton="0" quotePrefix="0" xfId="0"/>
    <xf numFmtId="0" fontId="7" fillId="5" borderId="10" pivotButton="0" quotePrefix="0" xfId="0"/>
    <xf numFmtId="0" fontId="7" fillId="5" borderId="11" pivotButton="0" quotePrefix="0" xfId="0"/>
    <xf numFmtId="0" fontId="7" fillId="5" borderId="12" pivotButton="0" quotePrefix="0" xfId="0"/>
    <xf numFmtId="0" fontId="7" fillId="5" borderId="13" pivotButton="0" quotePrefix="0" xfId="0"/>
    <xf numFmtId="0" fontId="7" fillId="5" borderId="14" pivotButton="0" quotePrefix="0" xfId="0"/>
    <xf numFmtId="0" fontId="7" fillId="5" borderId="15" pivotButton="0" quotePrefix="0" xfId="0"/>
    <xf numFmtId="0" fontId="7" fillId="5" borderId="16" pivotButton="0" quotePrefix="0" xfId="0"/>
    <xf numFmtId="0" fontId="7" fillId="5" borderId="9" applyAlignment="1" pivotButton="0" quotePrefix="0" xfId="0">
      <alignment wrapText="1"/>
    </xf>
    <xf numFmtId="0" fontId="7" fillId="5" borderId="10" applyAlignment="1" pivotButton="0" quotePrefix="0" xfId="0">
      <alignment wrapText="1"/>
    </xf>
    <xf numFmtId="0" fontId="7" fillId="5" borderId="11" applyAlignment="1" pivotButton="0" quotePrefix="0" xfId="0">
      <alignment wrapText="1"/>
    </xf>
    <xf numFmtId="0" fontId="7" fillId="5" borderId="12" applyAlignment="1" pivotButton="0" quotePrefix="0" xfId="0">
      <alignment wrapText="1"/>
    </xf>
    <xf numFmtId="0" fontId="7" fillId="5" borderId="0" applyAlignment="1" pivotButton="0" quotePrefix="0" xfId="0">
      <alignment wrapText="1"/>
    </xf>
    <xf numFmtId="0" fontId="7" fillId="5" borderId="13" applyAlignment="1" pivotButton="0" quotePrefix="0" xfId="0">
      <alignment wrapText="1"/>
    </xf>
    <xf numFmtId="0" fontId="7" fillId="5" borderId="14" applyAlignment="1" pivotButton="0" quotePrefix="0" xfId="0">
      <alignment wrapText="1"/>
    </xf>
    <xf numFmtId="0" fontId="7" fillId="5" borderId="15" applyAlignment="1" pivotButton="0" quotePrefix="0" xfId="0">
      <alignment wrapText="1"/>
    </xf>
    <xf numFmtId="0" fontId="7" fillId="5" borderId="16" applyAlignment="1" pivotButton="0" quotePrefix="0" xfId="0">
      <alignment wrapText="1"/>
    </xf>
    <xf numFmtId="0" fontId="7" fillId="5" borderId="9" applyAlignment="1" pivotButton="0" quotePrefix="0" xfId="0">
      <alignment vertical="center" wrapText="1"/>
    </xf>
    <xf numFmtId="0" fontId="7" fillId="5" borderId="10" applyAlignment="1" pivotButton="0" quotePrefix="0" xfId="0">
      <alignment vertical="center" wrapText="1"/>
    </xf>
    <xf numFmtId="0" fontId="7" fillId="5" borderId="11" applyAlignment="1" pivotButton="0" quotePrefix="0" xfId="0">
      <alignment vertical="center" wrapText="1"/>
    </xf>
    <xf numFmtId="0" fontId="7" fillId="5" borderId="12" applyAlignment="1" pivotButton="0" quotePrefix="0" xfId="0">
      <alignment vertical="center" wrapText="1"/>
    </xf>
    <xf numFmtId="0" fontId="7" fillId="5" borderId="0" applyAlignment="1" pivotButton="0" quotePrefix="0" xfId="0">
      <alignment vertical="center" wrapText="1"/>
    </xf>
    <xf numFmtId="0" fontId="7" fillId="5" borderId="13" applyAlignment="1" pivotButton="0" quotePrefix="0" xfId="0">
      <alignment vertical="center" wrapText="1"/>
    </xf>
    <xf numFmtId="0" fontId="7" fillId="5" borderId="14" applyAlignment="1" pivotButton="0" quotePrefix="0" xfId="0">
      <alignment vertical="center" wrapText="1"/>
    </xf>
    <xf numFmtId="0" fontId="7" fillId="5" borderId="15" applyAlignment="1" pivotButton="0" quotePrefix="0" xfId="0">
      <alignment vertical="center" wrapText="1"/>
    </xf>
    <xf numFmtId="0" fontId="7" fillId="5" borderId="16" applyAlignment="1" pivotButton="0" quotePrefix="0" xfId="0">
      <alignment vertical="center" wrapText="1"/>
    </xf>
    <xf numFmtId="164" fontId="0" fillId="0" borderId="0" pivotButton="0" quotePrefix="0" xfId="0"/>
    <xf numFmtId="0" fontId="4" fillId="0" borderId="0" pivotButton="0" quotePrefix="0" xfId="0"/>
    <xf numFmtId="164" fontId="4" fillId="0" borderId="0" pivotButton="0" quotePrefix="0" xfId="0"/>
    <xf numFmtId="0" fontId="4" fillId="2" borderId="0" pivotButton="0" quotePrefix="0" xfId="0"/>
    <xf numFmtId="0" fontId="8" fillId="2" borderId="0" pivotButton="0" quotePrefix="0" xfId="0"/>
    <xf numFmtId="0" fontId="8" fillId="2" borderId="0" applyAlignment="1" pivotButton="0" quotePrefix="0" xfId="0">
      <alignment wrapText="1"/>
    </xf>
    <xf numFmtId="0" fontId="8" fillId="2" borderId="0" applyAlignment="1" pivotButton="0" quotePrefix="0" xfId="0">
      <alignment horizontal="center" wrapText="1"/>
    </xf>
    <xf numFmtId="0" fontId="8" fillId="2" borderId="0" applyAlignment="1" pivotButton="0" quotePrefix="0" xfId="0">
      <alignment horizontal="center" vertical="center" wrapText="1"/>
    </xf>
    <xf numFmtId="164" fontId="4" fillId="0" borderId="0" applyAlignment="1" pivotButton="0" quotePrefix="0" xfId="0">
      <alignment vertical="top"/>
    </xf>
    <xf numFmtId="0" fontId="4" fillId="0" borderId="0" applyAlignment="1" pivotButton="0" quotePrefix="0" xfId="0">
      <alignment vertical="top"/>
    </xf>
    <xf numFmtId="0" fontId="4" fillId="0" borderId="0" applyAlignment="1" pivotButton="0" quotePrefix="0" xfId="0">
      <alignment vertical="top" wrapText="1"/>
    </xf>
    <xf numFmtId="0" fontId="4" fillId="0" borderId="0" applyAlignment="1" pivotButton="0" quotePrefix="0" xfId="0">
      <alignment horizontal="center" vertical="top"/>
    </xf>
    <xf numFmtId="0" fontId="4" fillId="6" borderId="0" applyAlignment="1" pivotButton="0" quotePrefix="0" xfId="0">
      <alignment vertical="top"/>
    </xf>
    <xf numFmtId="0" fontId="4" fillId="7" borderId="0" applyAlignment="1" pivotButton="0" quotePrefix="0" xfId="0">
      <alignment vertical="top"/>
    </xf>
    <xf numFmtId="0" fontId="4" fillId="8" borderId="0" applyAlignment="1" pivotButton="0" quotePrefix="0" xfId="0">
      <alignment vertical="top"/>
    </xf>
    <xf numFmtId="0" fontId="4" fillId="9" borderId="0" applyAlignment="1" pivotButton="0" quotePrefix="0" xfId="0">
      <alignment vertical="top"/>
    </xf>
    <xf numFmtId="0" fontId="4" fillId="10" borderId="0" applyAlignment="1" pivotButton="0" quotePrefix="0" xfId="0">
      <alignment vertical="top"/>
    </xf>
    <xf numFmtId="0" fontId="4" fillId="11" borderId="0" applyAlignment="1" pivotButton="0" quotePrefix="0" xfId="0">
      <alignment vertical="top"/>
    </xf>
    <xf numFmtId="0" fontId="4" fillId="12" borderId="0" applyAlignment="1" pivotButton="0" quotePrefix="0" xfId="0">
      <alignment vertical="top"/>
    </xf>
    <xf numFmtId="0" fontId="8" fillId="2" borderId="17" applyAlignment="1" pivotButton="0" quotePrefix="0" xfId="0">
      <alignment horizontal="center" vertical="center" wrapText="1"/>
    </xf>
    <xf numFmtId="164" fontId="4" fillId="0" borderId="18" applyAlignment="1" pivotButton="0" quotePrefix="0" xfId="0">
      <alignment vertical="top"/>
    </xf>
    <xf numFmtId="0" fontId="4" fillId="0" borderId="18" applyAlignment="1" pivotButton="0" quotePrefix="0" xfId="0">
      <alignment vertical="top"/>
    </xf>
    <xf numFmtId="0" fontId="4" fillId="6" borderId="18" applyAlignment="1" pivotButton="0" quotePrefix="0" xfId="0">
      <alignment vertical="top"/>
    </xf>
    <xf numFmtId="0" fontId="4" fillId="0" borderId="18" applyAlignment="1" pivotButton="0" quotePrefix="0" xfId="0">
      <alignment vertical="top" wrapText="1"/>
    </xf>
    <xf numFmtId="0" fontId="4" fillId="0" borderId="18" applyAlignment="1" pivotButton="0" quotePrefix="0" xfId="0">
      <alignment horizontal="center" vertical="top"/>
    </xf>
    <xf numFmtId="0" fontId="4" fillId="7" borderId="18" applyAlignment="1" pivotButton="0" quotePrefix="0" xfId="0">
      <alignment vertical="top"/>
    </xf>
    <xf numFmtId="0" fontId="4" fillId="8" borderId="18" applyAlignment="1" pivotButton="0" quotePrefix="0" xfId="0">
      <alignment vertical="top"/>
    </xf>
    <xf numFmtId="0" fontId="4" fillId="9" borderId="18" applyAlignment="1" pivotButton="0" quotePrefix="0" xfId="0">
      <alignment vertical="top"/>
    </xf>
    <xf numFmtId="0" fontId="4" fillId="10" borderId="18" applyAlignment="1" pivotButton="0" quotePrefix="0" xfId="0">
      <alignment vertical="top"/>
    </xf>
    <xf numFmtId="0" fontId="4" fillId="11" borderId="18" applyAlignment="1" pivotButton="0" quotePrefix="0" xfId="0">
      <alignment vertical="top"/>
    </xf>
    <xf numFmtId="164" fontId="4" fillId="0" borderId="19" applyAlignment="1" pivotButton="0" quotePrefix="0" xfId="0">
      <alignment vertical="top"/>
    </xf>
    <xf numFmtId="0" fontId="4" fillId="0" borderId="19" applyAlignment="1" pivotButton="0" quotePrefix="0" xfId="0">
      <alignment vertical="top"/>
    </xf>
    <xf numFmtId="0" fontId="4" fillId="12" borderId="19" applyAlignment="1" pivotButton="0" quotePrefix="0" xfId="0">
      <alignment vertical="top"/>
    </xf>
    <xf numFmtId="0" fontId="4" fillId="0" borderId="19" applyAlignment="1" pivotButton="0" quotePrefix="0" xfId="0">
      <alignment vertical="top" wrapText="1"/>
    </xf>
    <xf numFmtId="0" fontId="4" fillId="0" borderId="19" applyAlignment="1" pivotButton="0" quotePrefix="0" xfId="0">
      <alignment horizontal="center" vertical="top"/>
    </xf>
    <xf numFmtId="0" fontId="0" fillId="6" borderId="0" pivotButton="0" quotePrefix="0" xfId="0"/>
    <xf numFmtId="0" fontId="6" fillId="6" borderId="0" pivotButton="0" quotePrefix="0" xfId="0"/>
    <xf numFmtId="0" fontId="6" fillId="6" borderId="20" pivotButton="0" quotePrefix="0" xfId="0"/>
    <xf numFmtId="0" fontId="6" fillId="6" borderId="21" pivotButton="0" quotePrefix="0" xfId="0"/>
    <xf numFmtId="0" fontId="6" fillId="6" borderId="22" pivotButton="0" quotePrefix="0" xfId="0"/>
    <xf numFmtId="0" fontId="6" fillId="6" borderId="20" applyAlignment="1" pivotButton="0" quotePrefix="0" xfId="0">
      <alignment vertical="center"/>
    </xf>
    <xf numFmtId="0" fontId="6" fillId="6" borderId="21" applyAlignment="1" pivotButton="0" quotePrefix="0" xfId="0">
      <alignment vertical="center"/>
    </xf>
    <xf numFmtId="0" fontId="6" fillId="6" borderId="22" applyAlignment="1" pivotButton="0" quotePrefix="0" xfId="0">
      <alignment vertical="center"/>
    </xf>
    <xf numFmtId="0" fontId="8" fillId="2" borderId="20" pivotButton="0" quotePrefix="0" xfId="0"/>
    <xf numFmtId="0" fontId="8" fillId="2" borderId="22" pivotButton="0" quotePrefix="0" xfId="0"/>
    <xf numFmtId="0" fontId="8" fillId="2" borderId="20" applyAlignment="1" pivotButton="0" quotePrefix="0" xfId="0">
      <alignment horizontal="center"/>
    </xf>
    <xf numFmtId="0" fontId="8" fillId="2" borderId="22" applyAlignment="1" pivotButton="0" quotePrefix="0" xfId="0">
      <alignment horizontal="center"/>
    </xf>
    <xf numFmtId="0" fontId="8" fillId="2" borderId="20" applyAlignment="1" pivotButton="0" quotePrefix="0" xfId="0">
      <alignment horizontal="center" vertical="center"/>
    </xf>
    <xf numFmtId="0" fontId="8" fillId="2" borderId="22" applyAlignment="1" pivotButton="0" quotePrefix="0" xfId="0">
      <alignment horizontal="center" vertical="center"/>
    </xf>
    <xf numFmtId="0" fontId="0" fillId="13" borderId="0" pivotButton="0" quotePrefix="0" xfId="0"/>
    <xf numFmtId="0" fontId="9" fillId="13" borderId="0" pivotButton="0" quotePrefix="0" xfId="0"/>
    <xf numFmtId="0" fontId="9" fillId="13" borderId="1" pivotButton="0" quotePrefix="0" xfId="0"/>
    <xf numFmtId="0" fontId="9" fillId="13" borderId="3" pivotButton="0" quotePrefix="0" xfId="0"/>
    <xf numFmtId="0" fontId="9" fillId="13" borderId="4" pivotButton="0" quotePrefix="0" xfId="0"/>
    <xf numFmtId="0" fontId="9" fillId="13" borderId="5" pivotButton="0" quotePrefix="0" xfId="0"/>
    <xf numFmtId="0" fontId="9" fillId="13" borderId="6" pivotButton="0" quotePrefix="0" xfId="0"/>
    <xf numFmtId="0" fontId="9" fillId="13" borderId="8" pivotButton="0" quotePrefix="0" xfId="0"/>
    <xf numFmtId="0" fontId="9" fillId="13" borderId="1" applyAlignment="1" pivotButton="0" quotePrefix="0" xfId="0">
      <alignment wrapText="1"/>
    </xf>
    <xf numFmtId="0" fontId="9" fillId="13" borderId="3" applyAlignment="1" pivotButton="0" quotePrefix="0" xfId="0">
      <alignment wrapText="1"/>
    </xf>
    <xf numFmtId="0" fontId="9" fillId="13" borderId="4" applyAlignment="1" pivotButton="0" quotePrefix="0" xfId="0">
      <alignment wrapText="1"/>
    </xf>
    <xf numFmtId="0" fontId="9" fillId="13" borderId="5" applyAlignment="1" pivotButton="0" quotePrefix="0" xfId="0">
      <alignment wrapText="1"/>
    </xf>
    <xf numFmtId="0" fontId="9" fillId="13" borderId="6" applyAlignment="1" pivotButton="0" quotePrefix="0" xfId="0">
      <alignment wrapText="1"/>
    </xf>
    <xf numFmtId="0" fontId="9" fillId="13" borderId="8" applyAlignment="1" pivotButton="0" quotePrefix="0" xfId="0">
      <alignment wrapText="1"/>
    </xf>
    <xf numFmtId="0" fontId="9" fillId="13" borderId="1" applyAlignment="1" pivotButton="0" quotePrefix="0" xfId="0">
      <alignment vertical="top" wrapText="1"/>
    </xf>
    <xf numFmtId="0" fontId="9" fillId="13" borderId="3" applyAlignment="1" pivotButton="0" quotePrefix="0" xfId="0">
      <alignment vertical="top" wrapText="1"/>
    </xf>
    <xf numFmtId="0" fontId="9" fillId="13" borderId="4" applyAlignment="1" pivotButton="0" quotePrefix="0" xfId="0">
      <alignment vertical="top" wrapText="1"/>
    </xf>
    <xf numFmtId="0" fontId="9" fillId="13" borderId="5" applyAlignment="1" pivotButton="0" quotePrefix="0" xfId="0">
      <alignment vertical="top" wrapText="1"/>
    </xf>
    <xf numFmtId="0" fontId="9" fillId="13" borderId="6" applyAlignment="1" pivotButton="0" quotePrefix="0" xfId="0">
      <alignment vertical="top" wrapText="1"/>
    </xf>
    <xf numFmtId="0" fontId="9" fillId="13" borderId="8" applyAlignment="1" pivotButton="0" quotePrefix="0" xfId="0">
      <alignment vertical="top" wrapText="1"/>
    </xf>
    <xf numFmtId="0" fontId="0" fillId="14" borderId="0" pivotButton="0" quotePrefix="0" xfId="0"/>
    <xf numFmtId="0" fontId="9" fillId="14" borderId="0" pivotButton="0" quotePrefix="0" xfId="0"/>
    <xf numFmtId="0" fontId="9" fillId="14" borderId="1" pivotButton="0" quotePrefix="0" xfId="0"/>
    <xf numFmtId="0" fontId="9" fillId="14" borderId="3" pivotButton="0" quotePrefix="0" xfId="0"/>
    <xf numFmtId="0" fontId="9" fillId="14" borderId="4" pivotButton="0" quotePrefix="0" xfId="0"/>
    <xf numFmtId="0" fontId="9" fillId="14" borderId="5" pivotButton="0" quotePrefix="0" xfId="0"/>
    <xf numFmtId="0" fontId="9" fillId="14" borderId="6" pivotButton="0" quotePrefix="0" xfId="0"/>
    <xf numFmtId="0" fontId="9" fillId="14" borderId="8" pivotButton="0" quotePrefix="0" xfId="0"/>
    <xf numFmtId="0" fontId="9" fillId="14" borderId="1" applyAlignment="1" pivotButton="0" quotePrefix="0" xfId="0">
      <alignment wrapText="1"/>
    </xf>
    <xf numFmtId="0" fontId="9" fillId="14" borderId="3" applyAlignment="1" pivotButton="0" quotePrefix="0" xfId="0">
      <alignment wrapText="1"/>
    </xf>
    <xf numFmtId="0" fontId="9" fillId="14" borderId="4" applyAlignment="1" pivotButton="0" quotePrefix="0" xfId="0">
      <alignment wrapText="1"/>
    </xf>
    <xf numFmtId="0" fontId="9" fillId="14" borderId="5" applyAlignment="1" pivotButton="0" quotePrefix="0" xfId="0">
      <alignment wrapText="1"/>
    </xf>
    <xf numFmtId="0" fontId="9" fillId="14" borderId="6" applyAlignment="1" pivotButton="0" quotePrefix="0" xfId="0">
      <alignment wrapText="1"/>
    </xf>
    <xf numFmtId="0" fontId="9" fillId="14" borderId="8" applyAlignment="1" pivotButton="0" quotePrefix="0" xfId="0">
      <alignment wrapText="1"/>
    </xf>
    <xf numFmtId="0" fontId="9" fillId="14" borderId="1" applyAlignment="1" pivotButton="0" quotePrefix="0" xfId="0">
      <alignment vertical="top" wrapText="1"/>
    </xf>
    <xf numFmtId="0" fontId="9" fillId="14" borderId="3" applyAlignment="1" pivotButton="0" quotePrefix="0" xfId="0">
      <alignment vertical="top" wrapText="1"/>
    </xf>
    <xf numFmtId="0" fontId="9" fillId="14" borderId="4" applyAlignment="1" pivotButton="0" quotePrefix="0" xfId="0">
      <alignment vertical="top" wrapText="1"/>
    </xf>
    <xf numFmtId="0" fontId="9" fillId="14" borderId="5" applyAlignment="1" pivotButton="0" quotePrefix="0" xfId="0">
      <alignment vertical="top" wrapText="1"/>
    </xf>
    <xf numFmtId="0" fontId="9" fillId="14" borderId="6" applyAlignment="1" pivotButton="0" quotePrefix="0" xfId="0">
      <alignment vertical="top" wrapText="1"/>
    </xf>
    <xf numFmtId="0" fontId="9" fillId="14" borderId="8" applyAlignment="1" pivotButton="0" quotePrefix="0" xfId="0">
      <alignment vertical="top" wrapText="1"/>
    </xf>
    <xf numFmtId="0" fontId="0" fillId="8" borderId="0" pivotButton="0" quotePrefix="0" xfId="0"/>
    <xf numFmtId="0" fontId="6" fillId="8" borderId="0" pivotButton="0" quotePrefix="0" xfId="0"/>
    <xf numFmtId="0" fontId="6" fillId="8" borderId="20" pivotButton="0" quotePrefix="0" xfId="0"/>
    <xf numFmtId="0" fontId="6" fillId="8" borderId="21" pivotButton="0" quotePrefix="0" xfId="0"/>
    <xf numFmtId="0" fontId="6" fillId="8" borderId="22" pivotButton="0" quotePrefix="0" xfId="0"/>
    <xf numFmtId="0" fontId="6" fillId="8" borderId="20" applyAlignment="1" pivotButton="0" quotePrefix="0" xfId="0">
      <alignment vertical="center"/>
    </xf>
    <xf numFmtId="0" fontId="6" fillId="8" borderId="21" applyAlignment="1" pivotButton="0" quotePrefix="0" xfId="0">
      <alignment vertical="center"/>
    </xf>
    <xf numFmtId="0" fontId="6" fillId="8" borderId="22" applyAlignment="1" pivotButton="0" quotePrefix="0" xfId="0">
      <alignment vertical="center"/>
    </xf>
    <xf numFmtId="0" fontId="0" fillId="7" borderId="0" pivotButton="0" quotePrefix="0" xfId="0"/>
    <xf numFmtId="0" fontId="6" fillId="7" borderId="0" pivotButton="0" quotePrefix="0" xfId="0"/>
    <xf numFmtId="0" fontId="6" fillId="7" borderId="20" pivotButton="0" quotePrefix="0" xfId="0"/>
    <xf numFmtId="0" fontId="6" fillId="7" borderId="21" pivotButton="0" quotePrefix="0" xfId="0"/>
    <xf numFmtId="0" fontId="6" fillId="7" borderId="22" pivotButton="0" quotePrefix="0" xfId="0"/>
    <xf numFmtId="0" fontId="6" fillId="7" borderId="20" applyAlignment="1" pivotButton="0" quotePrefix="0" xfId="0">
      <alignment vertical="center"/>
    </xf>
    <xf numFmtId="0" fontId="6" fillId="7" borderId="21" applyAlignment="1" pivotButton="0" quotePrefix="0" xfId="0">
      <alignment vertical="center"/>
    </xf>
    <xf numFmtId="0" fontId="6" fillId="7" borderId="22" applyAlignment="1" pivotButton="0" quotePrefix="0" xfId="0">
      <alignment vertical="center"/>
    </xf>
    <xf numFmtId="0" fontId="0" fillId="9" borderId="0" pivotButton="0" quotePrefix="0" xfId="0"/>
    <xf numFmtId="0" fontId="6" fillId="9" borderId="0" pivotButton="0" quotePrefix="0" xfId="0"/>
    <xf numFmtId="0" fontId="6" fillId="9" borderId="20" pivotButton="0" quotePrefix="0" xfId="0"/>
    <xf numFmtId="0" fontId="6" fillId="9" borderId="21" pivotButton="0" quotePrefix="0" xfId="0"/>
    <xf numFmtId="0" fontId="6" fillId="9" borderId="22" pivotButton="0" quotePrefix="0" xfId="0"/>
    <xf numFmtId="0" fontId="6" fillId="9" borderId="20" applyAlignment="1" pivotButton="0" quotePrefix="0" xfId="0">
      <alignment vertical="center"/>
    </xf>
    <xf numFmtId="0" fontId="6" fillId="9" borderId="21" applyAlignment="1" pivotButton="0" quotePrefix="0" xfId="0">
      <alignment vertical="center"/>
    </xf>
    <xf numFmtId="0" fontId="6" fillId="9" borderId="22" applyAlignment="1" pivotButton="0" quotePrefix="0" xfId="0">
      <alignment vertical="center"/>
    </xf>
    <xf numFmtId="0" fontId="0" fillId="10" borderId="0" pivotButton="0" quotePrefix="0" xfId="0"/>
    <xf numFmtId="0" fontId="6" fillId="10" borderId="0" pivotButton="0" quotePrefix="0" xfId="0"/>
    <xf numFmtId="0" fontId="6" fillId="10" borderId="20" pivotButton="0" quotePrefix="0" xfId="0"/>
    <xf numFmtId="0" fontId="6" fillId="10" borderId="21" pivotButton="0" quotePrefix="0" xfId="0"/>
    <xf numFmtId="0" fontId="6" fillId="10" borderId="22" pivotButton="0" quotePrefix="0" xfId="0"/>
    <xf numFmtId="0" fontId="6" fillId="10" borderId="20" applyAlignment="1" pivotButton="0" quotePrefix="0" xfId="0">
      <alignment vertical="center"/>
    </xf>
    <xf numFmtId="0" fontId="6" fillId="10" borderId="21" applyAlignment="1" pivotButton="0" quotePrefix="0" xfId="0">
      <alignment vertical="center"/>
    </xf>
    <xf numFmtId="0" fontId="6" fillId="10" borderId="22" applyAlignment="1" pivotButton="0" quotePrefix="0" xfId="0">
      <alignment vertical="center"/>
    </xf>
    <xf numFmtId="0" fontId="0" fillId="12" borderId="0" pivotButton="0" quotePrefix="0" xfId="0"/>
    <xf numFmtId="0" fontId="6" fillId="12" borderId="0" pivotButton="0" quotePrefix="0" xfId="0"/>
    <xf numFmtId="0" fontId="6" fillId="12" borderId="20" pivotButton="0" quotePrefix="0" xfId="0"/>
    <xf numFmtId="0" fontId="6" fillId="12" borderId="21" pivotButton="0" quotePrefix="0" xfId="0"/>
    <xf numFmtId="0" fontId="6" fillId="12" borderId="22" pivotButton="0" quotePrefix="0" xfId="0"/>
    <xf numFmtId="0" fontId="6" fillId="12" borderId="20" applyAlignment="1" pivotButton="0" quotePrefix="0" xfId="0">
      <alignment vertical="center"/>
    </xf>
    <xf numFmtId="0" fontId="6" fillId="12" borderId="21" applyAlignment="1" pivotButton="0" quotePrefix="0" xfId="0">
      <alignment vertical="center"/>
    </xf>
    <xf numFmtId="0" fontId="6" fillId="12" borderId="22" applyAlignment="1" pivotButton="0" quotePrefix="0" xfId="0">
      <alignment vertical="center"/>
    </xf>
    <xf numFmtId="0" fontId="0" fillId="4" borderId="0" pivotButton="0" quotePrefix="0" xfId="0"/>
    <xf numFmtId="0" fontId="9" fillId="4" borderId="0" pivotButton="0" quotePrefix="0" xfId="0"/>
    <xf numFmtId="0" fontId="9" fillId="4" borderId="1" pivotButton="0" quotePrefix="0" xfId="0"/>
    <xf numFmtId="0" fontId="9" fillId="4" borderId="3" pivotButton="0" quotePrefix="0" xfId="0"/>
    <xf numFmtId="0" fontId="9" fillId="4" borderId="4" pivotButton="0" quotePrefix="0" xfId="0"/>
    <xf numFmtId="0" fontId="9" fillId="4" borderId="5" pivotButton="0" quotePrefix="0" xfId="0"/>
    <xf numFmtId="0" fontId="9" fillId="4" borderId="6" pivotButton="0" quotePrefix="0" xfId="0"/>
    <xf numFmtId="0" fontId="9" fillId="4" borderId="8" pivotButton="0" quotePrefix="0" xfId="0"/>
    <xf numFmtId="0" fontId="9" fillId="4" borderId="1" applyAlignment="1" pivotButton="0" quotePrefix="0" xfId="0">
      <alignment wrapText="1"/>
    </xf>
    <xf numFmtId="0" fontId="9" fillId="4" borderId="3" applyAlignment="1" pivotButton="0" quotePrefix="0" xfId="0">
      <alignment wrapText="1"/>
    </xf>
    <xf numFmtId="0" fontId="9" fillId="4" borderId="4" applyAlignment="1" pivotButton="0" quotePrefix="0" xfId="0">
      <alignment wrapText="1"/>
    </xf>
    <xf numFmtId="0" fontId="9" fillId="4" borderId="5" applyAlignment="1" pivotButton="0" quotePrefix="0" xfId="0">
      <alignment wrapText="1"/>
    </xf>
    <xf numFmtId="0" fontId="9" fillId="4" borderId="6" applyAlignment="1" pivotButton="0" quotePrefix="0" xfId="0">
      <alignment wrapText="1"/>
    </xf>
    <xf numFmtId="0" fontId="9" fillId="4" borderId="8" applyAlignment="1" pivotButton="0" quotePrefix="0" xfId="0">
      <alignment wrapText="1"/>
    </xf>
    <xf numFmtId="0" fontId="9" fillId="4" borderId="1" applyAlignment="1" pivotButton="0" quotePrefix="0" xfId="0">
      <alignment vertical="top" wrapText="1"/>
    </xf>
    <xf numFmtId="0" fontId="9" fillId="4" borderId="3" applyAlignment="1" pivotButton="0" quotePrefix="0" xfId="0">
      <alignment vertical="top" wrapText="1"/>
    </xf>
    <xf numFmtId="0" fontId="9" fillId="4" borderId="4" applyAlignment="1" pivotButton="0" quotePrefix="0" xfId="0">
      <alignment vertical="top" wrapText="1"/>
    </xf>
    <xf numFmtId="0" fontId="9" fillId="4" borderId="5" applyAlignment="1" pivotButton="0" quotePrefix="0" xfId="0">
      <alignment vertical="top" wrapText="1"/>
    </xf>
    <xf numFmtId="0" fontId="9" fillId="4" borderId="6" applyAlignment="1" pivotButton="0" quotePrefix="0" xfId="0">
      <alignment vertical="top" wrapText="1"/>
    </xf>
    <xf numFmtId="0" fontId="9" fillId="4" borderId="8" applyAlignment="1" pivotButton="0" quotePrefix="0" xfId="0">
      <alignment vertical="top" wrapText="1"/>
    </xf>
    <xf numFmtId="0" fontId="8" fillId="2" borderId="0" applyAlignment="1" pivotButton="0" quotePrefix="0" xfId="0">
      <alignment horizontal="center"/>
    </xf>
    <xf numFmtId="0" fontId="8" fillId="2" borderId="0" applyAlignment="1" pivotButton="0" quotePrefix="0" xfId="0">
      <alignment horizontal="center" vertical="center"/>
    </xf>
    <xf numFmtId="0" fontId="4" fillId="0" borderId="17" pivotButton="0" quotePrefix="0" xfId="0"/>
    <xf numFmtId="0" fontId="4" fillId="0" borderId="18" pivotButton="0" quotePrefix="0" xfId="0"/>
    <xf numFmtId="0" fontId="4" fillId="0" borderId="23" pivotButton="0" quotePrefix="0" xfId="0"/>
    <xf numFmtId="0" fontId="4" fillId="0" borderId="17" applyAlignment="1" pivotButton="0" quotePrefix="0" xfId="0">
      <alignment wrapText="1"/>
    </xf>
    <xf numFmtId="0" fontId="4" fillId="0" borderId="18" applyAlignment="1" pivotButton="0" quotePrefix="0" xfId="0">
      <alignment wrapText="1"/>
    </xf>
    <xf numFmtId="0" fontId="4" fillId="0" borderId="23" applyAlignment="1" pivotButton="0" quotePrefix="0" xfId="0">
      <alignment wrapText="1"/>
    </xf>
    <xf numFmtId="0" fontId="4" fillId="0" borderId="17" applyAlignment="1" pivotButton="0" quotePrefix="0" xfId="0">
      <alignment vertical="top" wrapText="1"/>
    </xf>
    <xf numFmtId="0" fontId="4" fillId="0" borderId="23" applyAlignment="1" pivotButton="0" quotePrefix="0" xfId="0">
      <alignment vertical="top" wrapText="1"/>
    </xf>
    <xf numFmtId="0" fontId="4" fillId="3" borderId="24" applyAlignment="1" pivotButton="0" quotePrefix="0" xfId="0">
      <alignment vertical="top" wrapText="1"/>
    </xf>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12" fillId="0" borderId="0" applyAlignment="1" pivotButton="0" quotePrefix="0" xfId="0">
      <alignment vertical="top" wrapText="1"/>
    </xf>
    <xf numFmtId="0" fontId="10" fillId="0" borderId="0" pivotButton="0" quotePrefix="0" xfId="0"/>
    <xf numFmtId="0" fontId="11" fillId="15" borderId="0" applyAlignment="1" pivotButton="0" quotePrefix="0" xfId="0">
      <alignment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9" fontId="0" fillId="0" borderId="0" pivotButton="0" quotePrefix="0" xfId="0"/>
    <xf numFmtId="0" fontId="7" fillId="5" borderId="25" applyAlignment="1" pivotButton="0" quotePrefix="0" xfId="0">
      <alignment vertical="center" wrapText="1"/>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9" fontId="6" fillId="4" borderId="8" pivotButton="0" quotePrefix="0" xfId="0"/>
    <xf numFmtId="0" fontId="0" fillId="0" borderId="14" pivotButton="0" quotePrefix="0" xfId="0"/>
    <xf numFmtId="0" fontId="0" fillId="0" borderId="15" pivotButton="0" quotePrefix="0" xfId="0"/>
    <xf numFmtId="0" fontId="0" fillId="0" borderId="16" pivotButton="0" quotePrefix="0" xfId="0"/>
    <xf numFmtId="164" fontId="4" fillId="0" borderId="18" applyAlignment="1" pivotButton="0" quotePrefix="0" xfId="0">
      <alignment vertical="top"/>
    </xf>
    <xf numFmtId="164" fontId="4" fillId="0" borderId="19" applyAlignment="1" pivotButton="0" quotePrefix="0" xfId="0">
      <alignment vertical="top"/>
    </xf>
    <xf numFmtId="0" fontId="6" fillId="6" borderId="26" applyAlignment="1" pivotButton="0" quotePrefix="0" xfId="0">
      <alignment vertical="center"/>
    </xf>
    <xf numFmtId="0" fontId="0" fillId="0" borderId="21" pivotButton="0" quotePrefix="0" xfId="0"/>
    <xf numFmtId="0" fontId="0" fillId="0" borderId="22" pivotButton="0" quotePrefix="0" xfId="0"/>
    <xf numFmtId="0" fontId="8" fillId="2" borderId="26" applyAlignment="1" pivotButton="0" quotePrefix="0" xfId="0">
      <alignment horizontal="center" vertical="center"/>
    </xf>
    <xf numFmtId="0" fontId="9" fillId="13" borderId="24" applyAlignment="1" pivotButton="0" quotePrefix="0" xfId="0">
      <alignment vertical="top" wrapText="1"/>
    </xf>
    <xf numFmtId="0" fontId="9" fillId="14" borderId="24" applyAlignment="1" pivotButton="0" quotePrefix="0" xfId="0">
      <alignment vertical="top" wrapText="1"/>
    </xf>
    <xf numFmtId="0" fontId="6" fillId="8" borderId="26" applyAlignment="1" pivotButton="0" quotePrefix="0" xfId="0">
      <alignment vertical="center"/>
    </xf>
    <xf numFmtId="0" fontId="6" fillId="7" borderId="26" applyAlignment="1" pivotButton="0" quotePrefix="0" xfId="0">
      <alignment vertical="center"/>
    </xf>
    <xf numFmtId="0" fontId="6" fillId="9" borderId="26" applyAlignment="1" pivotButton="0" quotePrefix="0" xfId="0">
      <alignment vertical="center"/>
    </xf>
    <xf numFmtId="0" fontId="6" fillId="10" borderId="26" applyAlignment="1" pivotButton="0" quotePrefix="0" xfId="0">
      <alignment vertical="center"/>
    </xf>
    <xf numFmtId="0" fontId="6" fillId="12" borderId="26" applyAlignment="1" pivotButton="0" quotePrefix="0" xfId="0">
      <alignment vertical="center"/>
    </xf>
    <xf numFmtId="0" fontId="9" fillId="4" borderId="24" applyAlignment="1" pivotButton="0" quotePrefix="0" xfId="0">
      <alignment vertical="top" wrapText="1"/>
    </xf>
  </cellXfs>
  <cellStyles count="1">
    <cellStyle name="Normal" xfId="0"/>
  </cellStyles>
  <dxfs count="4">
    <dxf>
      <font>
        <b val="1"/>
        <color rgb="FF216E39"/>
      </font>
      <fill>
        <patternFill>
          <bgColor rgb="FFDDF2E3"/>
        </patternFill>
      </fill>
    </dxf>
    <dxf>
      <font>
        <b val="1"/>
        <color rgb="FF805B00"/>
      </font>
      <fill>
        <patternFill>
          <bgColor rgb="FFFFF1C7"/>
        </patternFill>
      </fill>
    </dxf>
    <dxf>
      <font>
        <b val="1"/>
        <color rgb="FFA61B1B"/>
      </font>
      <fill>
        <patternFill>
          <bgColor rgb="FFFADBD8"/>
        </patternFill>
      </fill>
    </dxf>
    <dxf>
      <font>
        <color rgb="FF566573"/>
      </font>
      <fill>
        <patternFill>
          <bgColor rgb="FFEEF2F5"/>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LaunchTasksTable" displayName="LaunchTasksTable" ref="A10:J46" headerRowCount="1" totalsRowCount="0" totalsRowShown="0">
  <autoFilter ref="A10:J46"/>
  <tableColumns count="10">
    <tableColumn id="1" name="Date"/>
    <tableColumn id="2" name="Day"/>
    <tableColumn id="3" name="Phase"/>
    <tableColumn id="4" name="Morning: copy this entire prompt into Codex"/>
    <tableColumn id="5" name="Evening / weekend: exactly what you do"/>
    <tableColumn id="6" name="Time cap"/>
    <tableColumn id="7" name="Done means"/>
    <tableColumn id="8" name="Hard gate?"/>
    <tableColumn id="9" name="Status"/>
    <tableColumn id="10" name="Notes / evidenc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FF17324D"/>
    <outlinePr summaryBelow="1" summaryRight="1"/>
    <pageSetUpPr/>
  </sheetPr>
  <dimension ref="A2:H54"/>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2">
      <c r="A2" s="1" t="inlineStr">
        <is>
          <t>YOW November launch sprint — start here</t>
        </is>
      </c>
    </row>
    <row r="3">
      <c r="A3" s="2" t="inlineStr">
        <is>
          <t>Quiet release Sunday 1 November · public launch and marketing Monday 2 November</t>
        </is>
      </c>
    </row>
    <row r="5" ht="22" customHeight="1">
      <c r="A5" s="5" t="inlineStr">
        <is>
          <t>The basic routine</t>
        </is>
      </c>
    </row>
    <row r="6" ht="22" customHeight="1">
      <c r="A6" s="234" t="inlineStr">
        <is>
          <t>Every morning: spend 10 minutes (15 on weekends) copying today's prompt into Codex. AI handles code, terminal work, automated tests, documents, and evidence while you are at work or with your family.
Every evening: open the result and do only the guided owner task: clicks, decisions, real-device checks, or account-dashboard work.</t>
        </is>
      </c>
      <c r="B6" s="235" t="n"/>
      <c r="C6" s="235" t="n"/>
      <c r="D6" s="235" t="n"/>
      <c r="E6" s="235" t="n"/>
      <c r="F6" s="235" t="n"/>
      <c r="G6" s="235" t="n"/>
      <c r="H6" s="236" t="n"/>
    </row>
    <row r="7" ht="22" customHeight="1">
      <c r="A7" s="237" t="n"/>
      <c r="H7" s="238" t="n"/>
    </row>
    <row r="8" ht="22" customHeight="1">
      <c r="A8" s="237" t="n"/>
      <c r="H8" s="238" t="n"/>
    </row>
    <row r="9" ht="22" customHeight="1">
      <c r="A9" s="237" t="n"/>
      <c r="H9" s="238" t="n"/>
    </row>
    <row r="10" ht="22" customHeight="1">
      <c r="A10" s="239" t="n"/>
      <c r="B10" s="240" t="n"/>
      <c r="C10" s="240" t="n"/>
      <c r="D10" s="240" t="n"/>
      <c r="E10" s="240" t="n"/>
      <c r="F10" s="240" t="n"/>
      <c r="G10" s="240" t="n"/>
      <c r="H10" s="241" t="n"/>
    </row>
    <row r="11" ht="22" customHeight="1"/>
    <row r="12" ht="22" customHeight="1">
      <c r="A12" s="5" t="inlineStr">
        <is>
          <t>Your non-negotiable time limits</t>
        </is>
      </c>
    </row>
    <row r="13" ht="22" customHeight="1">
      <c r="A13" s="234" t="inlineStr">
        <is>
          <t>Weekday: 10 minutes in the morning plus no more than 110 minutes in the evening. Most days are shorter.
Weekend: 15 minutes in the morning plus two blocks totalling no more than 3 hours 45 minutes. Absolute total: four hours.
When time is up, stop and mark In progress. Do not double tomorrow's work.</t>
        </is>
      </c>
      <c r="B13" s="235" t="n"/>
      <c r="C13" s="235" t="n"/>
      <c r="D13" s="235" t="n"/>
      <c r="E13" s="235" t="n"/>
      <c r="F13" s="235" t="n"/>
      <c r="G13" s="235" t="n"/>
      <c r="H13" s="236" t="n"/>
    </row>
    <row r="14" ht="22" customHeight="1">
      <c r="A14" s="237" t="n"/>
      <c r="H14" s="238" t="n"/>
    </row>
    <row r="15" ht="22" customHeight="1">
      <c r="A15" s="237" t="n"/>
      <c r="H15" s="238" t="n"/>
    </row>
    <row r="16" ht="22" customHeight="1">
      <c r="A16" s="237" t="n"/>
      <c r="H16" s="238" t="n"/>
    </row>
    <row r="17" ht="22" customHeight="1">
      <c r="A17" s="239" t="n"/>
      <c r="B17" s="240" t="n"/>
      <c r="C17" s="240" t="n"/>
      <c r="D17" s="240" t="n"/>
      <c r="E17" s="240" t="n"/>
      <c r="F17" s="240" t="n"/>
      <c r="G17" s="240" t="n"/>
      <c r="H17" s="241" t="n"/>
    </row>
    <row r="18" ht="22" customHeight="1"/>
    <row r="19" ht="22" customHeight="1">
      <c r="A19" s="5" t="inlineStr">
        <is>
          <t>How to use the Daily Guide</t>
        </is>
      </c>
    </row>
    <row r="20" ht="22" customHeight="1">
      <c r="A20" s="234" t="inlineStr">
        <is>
          <t>1. Find today's row.
2. Copy its entire morning prompt into Codex before work.
3. In the evening, read Codex's result and your Owner instructions.
4. Follow one step at a time and report exactly what appears.
5. Set Status to Done, In progress, or Blocked and add a note.
6. Work in order. Never skip a failed hard gate.</t>
        </is>
      </c>
      <c r="B20" s="235" t="n"/>
      <c r="C20" s="235" t="n"/>
      <c r="D20" s="235" t="n"/>
      <c r="E20" s="235" t="n"/>
      <c r="F20" s="235" t="n"/>
      <c r="G20" s="235" t="n"/>
      <c r="H20" s="236" t="n"/>
    </row>
    <row r="21" ht="22" customHeight="1">
      <c r="A21" s="237" t="n"/>
      <c r="H21" s="238" t="n"/>
    </row>
    <row r="22" ht="22" customHeight="1">
      <c r="A22" s="237" t="n"/>
      <c r="H22" s="238" t="n"/>
    </row>
    <row r="23" ht="22" customHeight="1">
      <c r="A23" s="237" t="n"/>
      <c r="H23" s="238" t="n"/>
    </row>
    <row r="24" ht="22" customHeight="1">
      <c r="A24" s="239" t="n"/>
      <c r="B24" s="240" t="n"/>
      <c r="C24" s="240" t="n"/>
      <c r="D24" s="240" t="n"/>
      <c r="E24" s="240" t="n"/>
      <c r="F24" s="240" t="n"/>
      <c r="G24" s="240" t="n"/>
      <c r="H24" s="241" t="n"/>
    </row>
    <row r="25" ht="22" customHeight="1"/>
    <row r="26" ht="22" customHeight="1">
      <c r="A26" s="5" t="inlineStr">
        <is>
          <t>Safety rules</t>
        </is>
      </c>
    </row>
    <row r="27" ht="22" customHeight="1">
      <c r="A27" s="234" t="inlineStr">
        <is>
          <t>Never paste passwords, API keys, recovery codes, or secrets into chat or this workbook. Use disposable data and designated test accounts. Stop when a screen differs from the instructions. Never test deletion or permissions with the owner/admin account. Real checkout stays off until the rehearsal passes.</t>
        </is>
      </c>
      <c r="B27" s="235" t="n"/>
      <c r="C27" s="235" t="n"/>
      <c r="D27" s="235" t="n"/>
      <c r="E27" s="235" t="n"/>
      <c r="F27" s="235" t="n"/>
      <c r="G27" s="235" t="n"/>
      <c r="H27" s="236" t="n"/>
    </row>
    <row r="28" ht="22" customHeight="1">
      <c r="A28" s="237" t="n"/>
      <c r="H28" s="238" t="n"/>
    </row>
    <row r="29" ht="22" customHeight="1">
      <c r="A29" s="237" t="n"/>
      <c r="H29" s="238" t="n"/>
    </row>
    <row r="30" ht="22" customHeight="1">
      <c r="A30" s="237" t="n"/>
      <c r="H30" s="238" t="n"/>
    </row>
    <row r="31" ht="22" customHeight="1">
      <c r="A31" s="239" t="n"/>
      <c r="B31" s="240" t="n"/>
      <c r="C31" s="240" t="n"/>
      <c r="D31" s="240" t="n"/>
      <c r="E31" s="240" t="n"/>
      <c r="F31" s="240" t="n"/>
      <c r="G31" s="240" t="n"/>
      <c r="H31" s="241" t="n"/>
    </row>
    <row r="32" ht="22" customHeight="1"/>
    <row r="33" ht="22" customHeight="1">
      <c r="A33" s="5" t="inlineStr">
        <is>
          <t>Beta closure and launch</t>
        </is>
      </c>
    </row>
    <row r="34" ht="22" customHeight="1">
      <c r="A34" s="234" t="inlineStr">
        <is>
          <t>31 October: rehearse; checkout stays off.
1 November: if every gate is green, deploy quietly, remove Beta as a public tier, stop new Beta grants, preserve existing testers' access and exports, enable checkout, and complete one real purchase. No ads.
2 November: verify overnight health, then announce and market.</t>
        </is>
      </c>
      <c r="B34" s="235" t="n"/>
      <c r="C34" s="235" t="n"/>
      <c r="D34" s="235" t="n"/>
      <c r="E34" s="235" t="n"/>
      <c r="F34" s="235" t="n"/>
      <c r="G34" s="235" t="n"/>
      <c r="H34" s="236" t="n"/>
    </row>
    <row r="35" ht="22" customHeight="1">
      <c r="A35" s="237" t="n"/>
      <c r="H35" s="238" t="n"/>
    </row>
    <row r="36" ht="22" customHeight="1">
      <c r="A36" s="237" t="n"/>
      <c r="H36" s="238" t="n"/>
    </row>
    <row r="37" ht="22" customHeight="1">
      <c r="A37" s="237" t="n"/>
      <c r="H37" s="238" t="n"/>
    </row>
    <row r="38" ht="22" customHeight="1">
      <c r="A38" s="239" t="n"/>
      <c r="B38" s="240" t="n"/>
      <c r="C38" s="240" t="n"/>
      <c r="D38" s="240" t="n"/>
      <c r="E38" s="240" t="n"/>
      <c r="F38" s="240" t="n"/>
      <c r="G38" s="240" t="n"/>
      <c r="H38" s="241" t="n"/>
    </row>
    <row r="39" ht="22" customHeight="1"/>
    <row r="40" ht="22" customHeight="1">
      <c r="A40" s="5" t="inlineStr">
        <is>
          <t>If something fails</t>
        </is>
      </c>
    </row>
    <row r="41" ht="22" customHeight="1">
      <c r="A41" s="234" t="inlineStr">
        <is>
          <t>A failed auth, data-loss, save, export, desktop, legal, payment, or release-candidate gate moves launch. That is a safety decision, not a personal failure. Record the evidence, stop safely, and let AI prepare the repair. Cosmetic polish and new ideas wait until after launch.</t>
        </is>
      </c>
      <c r="B41" s="235" t="n"/>
      <c r="C41" s="235" t="n"/>
      <c r="D41" s="235" t="n"/>
      <c r="E41" s="235" t="n"/>
      <c r="F41" s="235" t="n"/>
      <c r="G41" s="235" t="n"/>
      <c r="H41" s="236" t="n"/>
    </row>
    <row r="42" ht="22" customHeight="1">
      <c r="A42" s="237" t="n"/>
      <c r="H42" s="238" t="n"/>
    </row>
    <row r="43" ht="22" customHeight="1">
      <c r="A43" s="237" t="n"/>
      <c r="H43" s="238" t="n"/>
    </row>
    <row r="44" ht="22" customHeight="1">
      <c r="A44" s="237" t="n"/>
      <c r="H44" s="238" t="n"/>
    </row>
    <row r="45" ht="22" customHeight="1">
      <c r="A45" s="239" t="n"/>
      <c r="B45" s="240" t="n"/>
      <c r="C45" s="240" t="n"/>
      <c r="D45" s="240" t="n"/>
      <c r="E45" s="240" t="n"/>
      <c r="F45" s="240" t="n"/>
      <c r="G45" s="240" t="n"/>
      <c r="H45" s="241" t="n"/>
    </row>
    <row r="46" ht="22" customHeight="1"/>
    <row r="47" ht="22" customHeight="1">
      <c r="A47" s="5" t="inlineStr">
        <is>
          <t>Import the calendar</t>
        </is>
      </c>
    </row>
    <row r="48" ht="22" customHeight="1">
      <c r="A48" s="234" t="inlineStr">
        <is>
          <t>Apple Calendar: File → Import → choose YOW-November-Launch-Calendar.ics.
Google Calendar: Settings → Import &amp; export → Import → choose the .ics file.
Outlook: Add calendar → Upload from file.
Weekdays: 7:30 AM handoff and 8:30 PM owner block. Weekends: 8:30 AM handoff plus two blocks. Times use Europe/London and can be dragged to fit your routine.</t>
        </is>
      </c>
      <c r="B48" s="235" t="n"/>
      <c r="C48" s="235" t="n"/>
      <c r="D48" s="235" t="n"/>
      <c r="E48" s="235" t="n"/>
      <c r="F48" s="235" t="n"/>
      <c r="G48" s="235" t="n"/>
      <c r="H48" s="236" t="n"/>
    </row>
    <row r="49" ht="22" customHeight="1">
      <c r="A49" s="237" t="n"/>
      <c r="H49" s="238" t="n"/>
    </row>
    <row r="50" ht="22" customHeight="1">
      <c r="A50" s="237" t="n"/>
      <c r="H50" s="238" t="n"/>
    </row>
    <row r="51" ht="22" customHeight="1">
      <c r="A51" s="237" t="n"/>
      <c r="H51" s="238" t="n"/>
    </row>
    <row r="52" ht="22" customHeight="1">
      <c r="A52" s="239" t="n"/>
      <c r="B52" s="240" t="n"/>
      <c r="C52" s="240" t="n"/>
      <c r="D52" s="240" t="n"/>
      <c r="E52" s="240" t="n"/>
      <c r="F52" s="240" t="n"/>
      <c r="G52" s="240" t="n"/>
      <c r="H52" s="241" t="n"/>
    </row>
    <row r="54">
      <c r="A54" s="242" t="inlineStr">
        <is>
          <t>Regenerated 12 Oct from docs/ROADMAP.md. Daily sheet: 'Plan from 1 Oct'. What you still need to do: 'Open Items'. Rows in 'Daily Guide' after 6 Oct are history and marked Moved.</t>
        </is>
      </c>
    </row>
  </sheetData>
  <mergeCells count="16">
    <mergeCell ref="A12:H12"/>
    <mergeCell ref="A26:H26"/>
    <mergeCell ref="A3:H3"/>
    <mergeCell ref="A27:H31"/>
    <mergeCell ref="A2:H2"/>
    <mergeCell ref="A20:H24"/>
    <mergeCell ref="A13:H17"/>
    <mergeCell ref="A41:H45"/>
    <mergeCell ref="A19:H19"/>
    <mergeCell ref="A33:H33"/>
    <mergeCell ref="A47:H47"/>
    <mergeCell ref="A5:H5"/>
    <mergeCell ref="A6:H10"/>
    <mergeCell ref="A34:H38"/>
    <mergeCell ref="A48:H52"/>
    <mergeCell ref="A40:H40"/>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4" customWidth="1" min="1" max="1"/>
    <col width="14" customWidth="1" min="2" max="2"/>
    <col width="110" customWidth="1" min="3" max="3"/>
    <col width="34" customWidth="1" min="4" max="4"/>
    <col width="16" customWidth="1" min="5" max="5"/>
  </cols>
  <sheetData>
    <row r="1">
      <c r="A1" s="243" t="inlineStr">
        <is>
          <t>Open items for you (as of 12 Oct evening). Do them in this order. Never paste passwords, keys or recovery codes anywhere.</t>
        </is>
      </c>
    </row>
    <row r="3">
      <c r="A3" s="244" t="inlineStr">
        <is>
          <t>#</t>
        </is>
      </c>
      <c r="B3" s="244" t="inlineStr">
        <is>
          <t>When</t>
        </is>
      </c>
      <c r="C3" s="244" t="inlineStr">
        <is>
          <t>What</t>
        </is>
      </c>
      <c r="D3" s="244" t="inlineStr">
        <is>
          <t>Needs</t>
        </is>
      </c>
      <c r="E3" s="244" t="inlineStr">
        <is>
          <t>Status</t>
        </is>
      </c>
    </row>
    <row r="4">
      <c r="A4" s="245" t="inlineStr">
        <is>
          <t>1</t>
        </is>
      </c>
      <c r="B4" s="245" t="inlineStr">
        <is>
          <t>13 Oct</t>
        </is>
      </c>
      <c r="C4" s="245" t="inlineStr">
        <is>
          <t>Novel and Comic journeys in the browser (about 1 hour): create Novel (act, chapter, scenes), write, refresh; check a large project stays usable; two finalised-draft snapshots with previous/next; Comic project with pages and panels; export both as ZIP, Word and PDF and open them; larger image upload and storage figure.</t>
        </is>
      </c>
      <c r="D4" s="245" t="inlineStr">
        <is>
          <t>Browser, test account</t>
        </is>
      </c>
      <c r="E4" s="245" t="inlineStr">
        <is>
          <t>Not started</t>
        </is>
      </c>
    </row>
    <row r="5">
      <c r="A5" s="245" t="inlineStr">
        <is>
          <t>2</t>
        </is>
      </c>
      <c r="B5" s="245" t="inlineStr">
        <is>
          <t>14 Oct</t>
        </is>
      </c>
      <c r="C5" s="245" t="inlineStr">
        <is>
          <t>Map Builder checklist (about 1 hour): persistence, undo/redo, all four map types, grid overlay on a campaign map, JSON import/export, restore from ZIP, PNG export.</t>
        </is>
      </c>
      <c r="D5" s="245" t="inlineStr">
        <is>
          <t>Browser</t>
        </is>
      </c>
      <c r="E5" s="245" t="inlineStr">
        <is>
          <t>Not started</t>
        </is>
      </c>
    </row>
    <row r="6">
      <c r="A6" s="245" t="inlineStr">
        <is>
          <t>3</t>
        </is>
      </c>
      <c r="B6" s="245" t="inlineStr">
        <is>
          <t>15 Oct</t>
        </is>
      </c>
      <c r="C6" s="245" t="inlineStr">
        <is>
          <t>Consolidated verification packet: Characters, Locations, Lore, Timeline/History, Family/Factions, Series, Schedule, Focused Writing, AI Import. Flag only reproducible failures. Includes O09 if not already done.</t>
        </is>
      </c>
      <c r="D6" s="245" t="inlineStr">
        <is>
          <t>Browser, test account with a series</t>
        </is>
      </c>
      <c r="E6" s="245" t="inlineStr">
        <is>
          <t>Not started</t>
        </is>
      </c>
    </row>
    <row r="7">
      <c r="A7" s="245" t="inlineStr">
        <is>
          <t>4</t>
        </is>
      </c>
      <c r="B7" s="245" t="inlineStr">
        <is>
          <t>Before 16 Oct</t>
        </is>
      </c>
      <c r="C7" s="245" t="inlineStr">
        <is>
          <t>Tell me your Windows version: Windows key + R, type winver, Enter. Needed before the Windows test on 16 Oct.</t>
        </is>
      </c>
      <c r="D7" s="245" t="inlineStr">
        <is>
          <t>Your Windows PC</t>
        </is>
      </c>
      <c r="E7" s="245" t="inlineStr">
        <is>
          <t>Waiting on you</t>
        </is>
      </c>
    </row>
    <row r="8">
      <c r="A8" s="245" t="inlineStr">
        <is>
          <t>5</t>
        </is>
      </c>
      <c r="B8" s="245" t="inlineStr">
        <is>
          <t>16 Oct</t>
        </is>
      </c>
      <c r="C8" s="245" t="inlineStr">
        <is>
          <t>Windows clean-machine checklist (SmartScreen steps, install, workspace, export, restore, updater, uninstall). On this day the Windows download link and version are also set in Vercel.</t>
        </is>
      </c>
      <c r="D8" s="245" t="inlineStr">
        <is>
          <t>Windows PC</t>
        </is>
      </c>
      <c r="E8" s="245" t="inlineStr">
        <is>
          <t>Not started</t>
        </is>
      </c>
    </row>
    <row r="9">
      <c r="A9" s="245" t="inlineStr">
        <is>
          <t>6</t>
        </is>
      </c>
      <c r="B9" s="245" t="inlineStr">
        <is>
          <t>17 Oct</t>
        </is>
      </c>
      <c r="C9" s="245" t="inlineStr">
        <is>
          <t>Device and accessibility day (O10): Firefox, Safari, VoiceOver and keyboard-only, real iPhone address-bar check, phone/tablet/desktop widths.</t>
        </is>
      </c>
      <c r="D9" s="245" t="inlineStr">
        <is>
          <t>Firefox, Safari, iPhone</t>
        </is>
      </c>
      <c r="E9" s="245" t="inlineStr">
        <is>
          <t>Not started</t>
        </is>
      </c>
    </row>
    <row r="10">
      <c r="A10" s="245" t="inlineStr">
        <is>
          <t>7</t>
        </is>
      </c>
      <c r="B10" s="245" t="inlineStr">
        <is>
          <t>17-18 Oct</t>
        </is>
      </c>
      <c r="C10" s="245" t="inlineStr">
        <is>
          <t>OpenRouter and OpenAI key checks (O07): key isolation across two accounts, context controls, DM/GM framing. Never paste keys into chat.</t>
        </is>
      </c>
      <c r="D10" s="245" t="inlineStr">
        <is>
          <t>Your keys, two test accounts</t>
        </is>
      </c>
      <c r="E10" s="245" t="inlineStr">
        <is>
          <t>Not started</t>
        </is>
      </c>
    </row>
    <row r="11">
      <c r="A11" s="245" t="inlineStr">
        <is>
          <t>8</t>
        </is>
      </c>
      <c r="B11" s="245" t="inlineStr">
        <is>
          <t>By 24 Oct</t>
        </is>
      </c>
      <c r="C11" s="245" t="inlineStr">
        <is>
          <t>Name a fallback launch date in case a gate fails (decision D6). Launch stays 1-2 Nov.</t>
        </is>
      </c>
      <c r="D11" s="245" t="inlineStr">
        <is>
          <t>Your decision</t>
        </is>
      </c>
      <c r="E11" s="245" t="inlineStr">
        <is>
          <t>Open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7"/>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6" customWidth="1" min="2" max="2"/>
    <col width="18" customWidth="1" min="3" max="3"/>
    <col width="50" customWidth="1" min="4" max="4"/>
    <col width="70" customWidth="1" min="5" max="5"/>
    <col width="50" customWidth="1" min="6" max="6"/>
    <col width="16" customWidth="1" min="7" max="7"/>
    <col width="14" customWidth="1" min="8" max="8"/>
    <col width="9" customWidth="1" min="9" max="9"/>
    <col width="12" customWidth="1" min="10" max="10"/>
    <col width="70" customWidth="1" min="11" max="11"/>
  </cols>
  <sheetData>
    <row r="1">
      <c r="A1" s="243" t="inlineStr">
        <is>
          <t>YOW launch plan from 1 October — generated from docs/ROADMAP.md (Sprint alignment). Launch: quiet release Sun 1 Nov, public Mon 2 Nov.</t>
        </is>
      </c>
    </row>
    <row r="2">
      <c r="A2" t="inlineStr">
        <is>
          <t>Statuses synced with docs/ROADMAP.md on 22 Oct 2026 (earlier dates in the text columns may be stale). The roadmap is canonical; ask to regenerate this sheet after any change.</t>
        </is>
      </c>
    </row>
    <row r="3">
      <c r="M3" t="inlineStr">
        <is>
          <t>Tasks</t>
        </is>
      </c>
      <c r="N3">
        <f>COUNTA(A5:A37)</f>
        <v/>
      </c>
    </row>
    <row r="4">
      <c r="A4" s="244" t="inlineStr">
        <is>
          <t>Date</t>
        </is>
      </c>
      <c r="B4" s="244" t="inlineStr">
        <is>
          <t>Day</t>
        </is>
      </c>
      <c r="C4" s="244" t="inlineStr">
        <is>
          <t>Phase</t>
        </is>
      </c>
      <c r="D4" s="244" t="inlineStr">
        <is>
          <t>AI assignment</t>
        </is>
      </c>
      <c r="E4" s="244" t="inlineStr">
        <is>
          <t>Also close (roadmap / QA plan items)</t>
        </is>
      </c>
      <c r="F4" s="244" t="inlineStr">
        <is>
          <t>Your task</t>
        </is>
      </c>
      <c r="G4" s="244" t="inlineStr">
        <is>
          <t>Your time (estimate)</t>
        </is>
      </c>
      <c r="H4" s="244" t="inlineStr">
        <is>
          <t>Overflow IDs</t>
        </is>
      </c>
      <c r="I4" s="244" t="inlineStr">
        <is>
          <t>Hard gate?</t>
        </is>
      </c>
      <c r="J4" s="244" t="inlineStr">
        <is>
          <t>Status</t>
        </is>
      </c>
      <c r="K4" s="244" t="inlineStr">
        <is>
          <t>Notes / evidence</t>
        </is>
      </c>
      <c r="M4" t="inlineStr">
        <is>
          <t>Done</t>
        </is>
      </c>
      <c r="N4">
        <f>COUNTIF(J5:J37,"Done")</f>
        <v/>
      </c>
    </row>
    <row r="5">
      <c r="A5" s="246" t="n">
        <v>46296</v>
      </c>
      <c r="B5" s="245" t="inlineStr">
        <is>
          <t>Thu</t>
        </is>
      </c>
      <c r="C5" s="245" t="inlineStr">
        <is>
          <t>Cloud &amp; security</t>
        </is>
      </c>
      <c r="D5" s="245" t="inlineStr">
        <is>
          <t>Finish the cloud-expiry/inactive-account lifecycle implementation and tests: notices, Export All, grace, archive/delete, and cloud-write shutdown.</t>
        </is>
      </c>
      <c r="E5" s="245" t="inlineStr">
        <is>
          <t>(1) Web idle-logout (24h) live-check script: force stale timestamp, confirm clean sign-out without data loss; (2) Canonical-host redirect verification (bare domain -&gt; www; path+query preserved; cross-tab auth) script and result; (3) Deployed security-header check (CSP, HSTS, nosniff, frame, referrer) if not already evidenced on 5 Oct</t>
        </is>
      </c>
      <c r="F5" s="245" t="inlineStr">
        <is>
          <t>Review the customer-visible sequence and approve the exact wording.</t>
        </is>
      </c>
      <c r="G5" s="245" t="inlineStr">
        <is>
          <t>10 min + 75 min</t>
        </is>
      </c>
      <c r="H5" s="245" t="inlineStr">
        <is>
          <t>—</t>
        </is>
      </c>
      <c r="I5" s="245" t="inlineStr">
        <is>
          <t>Yes</t>
        </is>
      </c>
      <c r="J5" s="245" t="inlineStr">
        <is>
          <t>Done</t>
        </is>
      </c>
      <c r="K5" s="245" t="inlineStr">
        <is>
          <t>Done 2026-10-01 (live end-to-end deletion test passed 2 Oct) — Lifecycle policy engine, notice ledger migration (not applied) and report-only sweep api/_runAccountLifecycle.js (reached at /api/send-reengagement-emails?job=lifecycle, because Vercel Hobby is capped at 12 Functions) built and tested; client getMembership() stops cloud sync after archive. Notice wording owner-approved 1 Oct. Production redirect + header check 22/22. Email sending and the archive executor are now built behind switches (2 Oct, see the section below); migrations applied, Vercel env vars set, first production dry-run report reviewed (160 accounts, 157 swept, 0 due), and the owner reported the signed-in live idle-logout and cross-tab auth checks passed (1 Oct). Real notice emails and a real Free-account deletion were exercised live on 2 Oct with two test accounts and passed (see docs/QA_PLAN.md "2026-10-03 Free-account deletion end-to-end"); the run also found and fixed a Resend idempotency 409 and restyled the emails as branded HTML. See [docs/QA_PLAN.md](QA_PLAN.md) "2026-10-01 cloud-expiry lifecycle".</t>
        </is>
      </c>
      <c r="M5" t="inlineStr">
        <is>
          <t>Blocked/Slipped</t>
        </is>
      </c>
      <c r="N5">
        <f>COUNTIF(J5:J37,"Blocked")+COUNTIF(J5:J37,"Slipped")</f>
        <v/>
      </c>
    </row>
    <row r="6">
      <c r="A6" s="246" t="n">
        <v>46297</v>
      </c>
      <c r="B6" s="245" t="inlineStr">
        <is>
          <t>Fri</t>
        </is>
      </c>
      <c r="C6" s="245" t="inlineStr">
        <is>
          <t>Cloud &amp; security</t>
        </is>
      </c>
      <c r="D6" s="245" t="inlineStr">
        <is>
          <t>Run complete ZIP/DOCX/PDF/World Bible ownership and privacy checks, including expiry access and readable output inspection.</t>
        </is>
      </c>
      <c r="E6" s="245" t="inlineStr">
        <is>
          <t>(1) DOCX single line-break vs blank-line paragraph fidelity, checked by opening in real Word and Google Docs; (2) AI chat saved as project entry and exported to Word (full chat panel path, not just bottom bar); (3) World Bible / visual PDF/HTML encyclopedia output inspected for all six project types</t>
        </is>
      </c>
      <c r="F6" s="245" t="inlineStr">
        <is>
          <t>Open the generated files and confirm the expected content is present and private data is absent where promised.</t>
        </is>
      </c>
      <c r="G6" s="245" t="inlineStr">
        <is>
          <t>10 min + 90 min</t>
        </is>
      </c>
      <c r="H6" s="245" t="inlineStr">
        <is>
          <t>—</t>
        </is>
      </c>
      <c r="I6" s="245" t="inlineStr">
        <is>
          <t>Yes</t>
        </is>
      </c>
      <c r="J6" s="245" t="inlineStr">
        <is>
          <t>Done</t>
        </is>
      </c>
      <c r="K6" s="245" t="inlineStr"/>
      <c r="M6" t="inlineStr">
        <is>
          <t>Progress</t>
        </is>
      </c>
      <c r="N6" s="247">
        <f>IFERROR(N4/N3,0)</f>
        <v/>
      </c>
    </row>
    <row r="7">
      <c r="A7" s="246" t="n">
        <v>46298</v>
      </c>
      <c r="B7" s="245" t="inlineStr">
        <is>
          <t>Sat</t>
        </is>
      </c>
      <c r="C7" s="245" t="inlineStr">
        <is>
          <t>Cloud &amp; security</t>
        </is>
      </c>
      <c r="D7" s="245" t="inlineStr">
        <is>
          <t>Retrieve or document the missing production function definitions, close reproducible database-build gaps, and rerun database checks.</t>
        </is>
      </c>
      <c r="E7" s="245" t="inlineStr">
        <is>
          <t>(1) Confirm scene-revision migration is applied in production and the legacy-projection fallback is no longer needed; (2) Replay every committed migration on an empty Supabase project with no manual SQL; reconcile migration history; dry-run push; (3) Two-account global-ID collision attempts against every normalized table; (4) Deploy only the authoritative Vercel billing stack; retire/quarantine the drifted legacy Supabase Edge Function Stripe copies; (5) Verify .env.example + runbook can stand up a disposable environment with no browser-exposed provider keys; (6) Scene cleanup on project delete: prepare read-only Supabase check that no scene rows remain; (7) Security Advisor leftovers: leaked-password protection is NOT available on the owner's current Supabase plan (owner confirmed 30 Sep) - record it as an accepted Advisor warning and instead verify the minimum password length/strength policy; clean up the duplicate owner-only scenes policies (8) [DONE early, passed 2 Oct] Free-account deletion end-to-end with two designated test accounts (A deleted, B returns): all four notice emails fire for each, the final notice date is right, A and its stored media are deleted with an audit row, B signs in after the final notice and is NOT deleted, no real account is touched; procedure and SQL in docs/QA_PLAN.md "2026-10-03 Free-account deletion end-to-end". Evidence feeds the 4-5 Oct Data safety matrix and gate summary; any failure is repaired on 4-5 Oct.</t>
        </is>
      </c>
      <c r="F7" s="245" t="inlineStr">
        <is>
          <t>Provide guided production access only if needed; review the database continuity result.  Create the two Free test accounts (real inbox, unbilled, not Beta) and run the Free-account deletion end-to-end test (overflow O17, about 60 min including setup): paste the SQL the AI prepared this morning, press Run on the cron job between steps, and report the inbox/Resend/Supabase observations.</t>
        </is>
      </c>
      <c r="G7" s="245" t="inlineStr">
        <is>
          <t>15 min + up to 3 h 45 min</t>
        </is>
      </c>
      <c r="H7" s="245" t="inlineStr">
        <is>
          <t>O03, O16, O17</t>
        </is>
      </c>
      <c r="I7" s="245" t="inlineStr">
        <is>
          <t>Yes</t>
        </is>
      </c>
      <c r="J7" s="245" t="inlineStr">
        <is>
          <t>Done</t>
        </is>
      </c>
      <c r="K7" s="245" t="inlineStr">
        <is>
          <t>Done 2026-10-03 (owner declared passed that evening; the owner later reported the 536 orphaned scene rows deleted and rows 7 and 8 of the production read-only check both OK, owner-reported rather than screenshot evidence) — Clean replay of all 34 migrations on an empty Postgres with no manual SQL (scripts/db-replay/replay.sh, new CI job) and 7 assertions: RPC/table/RLS inventory, no exposed definer functions, no duplicate policies, two-account ID collision refused on 21 tables, project delete leaves zero scene rows, scene revision guard. Found and fixed a duplicate owner-only scenes policy (migration 20261003120000, needs applying in production). Legacy Supabase Stripe Edge Function copies quarantined in supabase/functions/_retired/. Removed browser-exposed provider-key variables from .env.example/ARCHITECTURE.md; env-documentation test added. npm run qa: 151 files / 1,440 tests, 0 lint errors. Owner then applied the dedupe migration, ran the read-only production check (rows 3-9 screenshot, rows 1-2 reported OK; row 6 OK), raised the Supabase minimum password length 6 to 8, deleted a disposable project (no scene rows left), approved deleting all 536 orphaned scene rows (462 deleted-account, 74 older deleted-project leftovers; run by the owner), and set up the support@ Gmail send-as. Decision: no founders@ send-as; all outgoing replies use support@. Evening fix: main had been red since 2 Oct on five browser jobs, all one bug (the floating support pill covering workspace contro… (full evidence in docs/ROADMAP.md progress log)</t>
        </is>
      </c>
    </row>
    <row r="8">
      <c r="A8" s="246" t="n">
        <v>46299</v>
      </c>
      <c r="B8" s="245" t="inlineStr">
        <is>
          <t>Sun</t>
        </is>
      </c>
      <c r="C8" s="245" t="inlineStr">
        <is>
          <t>Cloud &amp; security</t>
        </is>
      </c>
      <c r="D8" s="245" t="inlineStr">
        <is>
          <t>Run the entire data-safety/auth/export matrix and fix failures in priority order.</t>
        </is>
      </c>
      <c r="E8" s="245" t="inlineStr">
        <is>
          <t>(1) Entitlement negative matrix: Free user cannot write plan/status/Founder/Lifetime/Stripe fields via any path; (2) Durable rate-limit live checks (AI proxy, feedback, paid-interest, email actions): 6th request 429s, window clears; (3) Queued-storage fault injection: IndexedDB/SQLite open, quota, disk-full, corruption, close-during-write; UI never says Saved before durable; (4) Legacy migration matrix: localStorage-only, IndexedDB-only, divergent, empty scenes, orphan keys, tombstones, auth tokens preserved/excluded; (5) Project archive identity matrix: export/import beside original, another account, colliding IDs, every project type; (6) Server-side quota enforcement bypassing the UI (MIME, size, concurrency, deletion accounting, downgrade/renewal); (7) Live two-tab structured-record clobber + nf_scene_versions cross-tab race repro (real credentialed account); (8) Real-signup flow: first-sign-in sample project prompt, exactly one Sample Project, tour persistence, unconfigured-AI guidance; (9) Cross-browser tour/wizard persistence (fresh browser profile on established account)</t>
        </is>
      </c>
      <c r="F8" s="245" t="inlineStr">
        <is>
          <t>Perform the remaining real-account checks in two focused blocks; stop at four hours.</t>
        </is>
      </c>
      <c r="G8" s="245" t="inlineStr">
        <is>
          <t>15 min + up to 3 h 45 min</t>
        </is>
      </c>
      <c r="H8" s="245" t="inlineStr">
        <is>
          <t>—</t>
        </is>
      </c>
      <c r="I8" s="245" t="inlineStr">
        <is>
          <t>Yes</t>
        </is>
      </c>
      <c r="J8" s="245" t="inlineStr">
        <is>
          <t>Done</t>
        </is>
      </c>
      <c r="K8" s="245" t="inlineStr">
        <is>
          <t>Done 2026-10-04 (automated matrix green; owner reported every live check passed that evening, owner-reported rather than screenshot evidence) — Ran the data-safety matrix and fixed what it found: (1) no server-side storage quota existed, caps/size/MIME were browser-only; new migration 20261004120000_user_media_server_limits.sql (bucket limit, image allow-list, per-user serialised quota trigger; not yet applied in production); (2) browser vault never recovered pre-IndexedDB localStorage data, now a once-per-profile safe migration; (3) save indicator could read Saved while a local write was queued/retrying, now counts pending writes. New evidence: DB replay 36 migrations / 10 assertions (entitlement negative matrix, quota/MIME/size/race), fault-injection 14 tests, legacy-migration 9, archive-identity (six types) 12, rate-limit 6; npm run qa 156 files / 1,492 tests, 0 lint errors; Playwright Chromium 46/46 on the affected specs. Owner reported tonight: O04 two-tab re-test PASSED, O05 feedback rate-limit PASSED, fresh-browser tours do NOT reappear (all owner-reported). Owner then applied 20261004120000 in production and reported the upload sanity check passed. Details in docs/QA_PLAN.md "2026-10-04 data-safety/auth/export matrix". Data safety gate stays Blocked until those are recorded.</t>
        </is>
      </c>
    </row>
    <row r="9">
      <c r="A9" s="246" t="n">
        <v>46300</v>
      </c>
      <c r="B9" s="245" t="inlineStr">
        <is>
          <t>Mon</t>
        </is>
      </c>
      <c r="C9" s="245" t="inlineStr">
        <is>
          <t>Cloud &amp; security</t>
        </is>
      </c>
      <c r="D9" s="245" t="inlineStr">
        <is>
          <t>Use the day as the hard-gate repair buffer, rerun the whole matrix, and produce a signed-off evidence summary.</t>
        </is>
      </c>
      <c r="E9" s="245" t="inlineStr">
        <is>
          <t>(1) Data safety gate and Export ownership gate: write each gate's evidence summary; move a gate to Passed only with evidence, otherwise list the exact remaining blocker</t>
        </is>
      </c>
      <c r="F9" s="245" t="inlineStr">
        <is>
          <t>Review the summary. Mark the gate Done only if no data-loss/auth/export blocker remains.</t>
        </is>
      </c>
      <c r="G9" s="245" t="inlineStr">
        <is>
          <t>10 min + 110 min</t>
        </is>
      </c>
      <c r="H9" s="245" t="inlineStr">
        <is>
          <t>O04, O05</t>
        </is>
      </c>
      <c r="I9" s="245" t="inlineStr">
        <is>
          <t>Yes</t>
        </is>
      </c>
      <c r="J9" s="245" t="inlineStr">
        <is>
          <t>Done</t>
        </is>
      </c>
      <c r="K9" s="245" t="inlineStr">
        <is>
          <t>Done 2026-10-05 (owner signed off both gate summaries; Data safety and Export ownership gates Passed) — Rewrote stale rows in docs/QA_PLAN.md with the evidence now on file and wrote the Data safety and Export ownership gate summaries ("2026-10-05 gate evidence summaries"). No blocker found. The 5 Oct run only reruns the checks and records the owner's sign-off. Also done 5 Oct: security live checks (headers, AI token rejection, durable AI logging, both form rate limits; no secrets in logs; security tests 74/74) and, with owner approval, email CORS fixes deployed (reset v66, welcome v88, re-engagement v7; YOW origin allowed, attacker origin denied). Unplanned payment work pulled forward from 21-23 Oct: simplified pricing and numbered Founder status, private Stripe test checkout, scheduled Monthly-cancellation display (see the 2026-10-05 sections above and docs/PAYMENT_ROADMAP.md). Owner signed off both gate summaries on 5 Oct.</t>
        </is>
      </c>
    </row>
    <row r="10">
      <c r="A10" s="246" t="n">
        <v>46301</v>
      </c>
      <c r="B10" s="245" t="inlineStr">
        <is>
          <t>Tue</t>
        </is>
      </c>
      <c r="C10" s="245" t="inlineStr">
        <is>
          <t>Desktop</t>
        </is>
      </c>
      <c r="D10" s="245" t="inlineStr">
        <is>
          <t>Implement/finish the full signed-in Tauri project workspace and run desktop unit/Rust/build checks.</t>
        </is>
      </c>
      <c r="E10" s="245" t="inlineStr">
        <is>
          <t>(1) Desktop entitlement matrix: Free and Monthly are rejected; Lifetime and eligible Beta behaviour cannot be changed by editing cache/localStorage/user metadata; (2) Device cap is enforced (not just a dismissible toast); licence activation with 30-day advisory recheck and offline grace; (3) Platform-native commands: external links open default browser; vault reveal opens Finder on macOS and Explorer on Windows; (4) Native/webview items outside the sandbox: focused-writing caret comfort, map draw/undo/PNG export, Supabase auth in WKWebView; (5) Desktop account-only surface replaced by the full Lifetime workspace and device list works</t>
        </is>
      </c>
      <c r="F10" s="245" t="inlineStr">
        <is>
          <t>Open the Mac test build with a Lifetime test account and verify login, library, project navigation, and writing.</t>
        </is>
      </c>
      <c r="G10" s="245" t="inlineStr">
        <is>
          <t>10 min + 100 min</t>
        </is>
      </c>
      <c r="H10" s="245" t="inlineStr">
        <is>
          <t>—</t>
        </is>
      </c>
      <c r="I10" s="245" t="inlineStr">
        <is>
          <t>Yes</t>
        </is>
      </c>
      <c r="J10" s="245" t="inlineStr">
        <is>
          <t>Done</t>
        </is>
      </c>
      <c r="K10" s="245" t="inlineStr">
        <is>
          <t>Done 2026-10-06 (owner reported the real-Mac test-build checks passed that evening, owner-reported rather than screenshot evidence; device-cap migration 20261004130000 applied in production by the owner 6 Oct, function confirmed present) — Desktop entitlement matrix (23 tests), cached-licence validation, atomic device cap (migration 20261004130000, replay CHECK 11, API tests), over-cap cache clear. Rust cargo test 29/29 runs in the cloud session after installing the GTK/WebKit packages. See docs/QA_PLAN.md "2026-10-06/07 desktop entitlement, device cap and vault privacy". Also done 5 Oct (item 3, platform-native commands): external links and Stripe portal redirects did nothing in the desktop webview because no frontend code called the native opener; fixed with src/utils/externalLinks.js and a https/mailto allow-list in Rust (Rust 30/30; npm run qa 163 files / 1,569 tests, 0 lint errors). Real-Mac click-through still pending. 6 Oct re-verification (cloud session, after merging origin/main + codex/recovery-closeout): npm run qa 163 files / 1,569 tests, 0 lint errors, build, load check (232 files), E2E matrix (52 specs) and API ESM check all pass; Rust cargo test 30/30; Playwright desktop-workspace + autosave 8/8 (Chromium). Not claimable from the cloud: WKWebView auth, Finder/Explorer reveal, caret comfort, map draw/PNG, packaged-app journey.</t>
        </is>
      </c>
    </row>
    <row r="11">
      <c r="A11" s="246" t="n">
        <v>46302</v>
      </c>
      <c r="B11" s="245" t="inlineStr">
        <is>
          <t>Wed</t>
        </is>
      </c>
      <c r="C11" s="245" t="inlineStr">
        <is>
          <t>Desktop</t>
        </is>
      </c>
      <c r="D11" s="245" t="inlineStr">
        <is>
          <t>Stress the desktop vault: write-behind durability, quit/force-quit, snapshot, restore, relocation, integrity, and disk-error handling; then (pulled forward from the old 8 Oct) Verify and repair native ZIP/DOCX/PDF/PNG save dialogs and file contents in packaged desktop builds.</t>
        </is>
      </c>
      <c r="E11" s="245" t="inlineStr">
        <is>
          <t>(1) Vault relocate/locate: move to empty folder, snapshots travel, app reloads, old copy remains, bad/missing path handled; (2) Vault privacy inspection: vault.db and every snapshot contain no Supabase session, AI key, entitlement secret or unrelated browser key; document encryption-at-rest decision; (3) Cloud-sync status UI: Syncing / Synced / failure states and Local-first manual sync controls; (1) Map PNG export and rendered exports from the packaged desktop build (alongside ZIP/DOCX/PDF save dialogs)</t>
        </is>
      </c>
      <c r="F11" s="245" t="inlineStr">
        <is>
          <t>Run the guided vault persistence and restore test with an isolated test vault; then Save and open each format from the packaged Mac app.</t>
        </is>
      </c>
      <c r="G11" s="245" t="inlineStr">
        <is>
          <t>10 min + 190 min (two blocks)</t>
        </is>
      </c>
      <c r="H11" s="245" t="inlineStr">
        <is>
          <t>—</t>
        </is>
      </c>
      <c r="I11" s="245" t="inlineStr">
        <is>
          <t>Yes</t>
        </is>
      </c>
      <c r="J11" s="245" t="inlineStr">
        <is>
          <t>Done</t>
        </is>
      </c>
      <c r="K11" s="245" t="inlineStr">
        <is>
          <t>Done 2026-10-07 (owner reported the real-Mac vault test passed: force-quit, snapshot restore, Move vault, Reveal vault; owner-reported rather than screenshot evidence) — Vault privacy audit code half from 4 Oct (static test, write-time guard, scrub incl. snapshots, shared predicate, D3 disclosure in Privacy and FAQ). 7 Oct added 7 Rust vault stress tests (force-quit durability with WAL un-checkpointed, uncommitted transaction rolled back cleanly, non-database file reported and untouched, corrupted page flagged then snapshot restore healthy, relocation keeps old copy plus snapshots, missing/invalid location errors, disk-full SQLITE_FULL reported with data intact and recovery); no product defect found. Cloud-sync status states already covered by 11 tests. Evidence: npm run qa 163 files / 1,570 tests, 0 lint errors, build, load check, E2E matrix, API ESM all pass; Rust 37/37, fmt and clippy clean; Playwright desktop-workspace + autosave 8/8. Details in docs/QA_PLAN.md "2026-10-07 desktop vault stress". Owner then ran the real-Mac vault test on the previous app build (no app code changed 7 Oct) and reported everything passed.</t>
        </is>
      </c>
    </row>
    <row r="12">
      <c r="A12" s="246" t="n">
        <v>46303</v>
      </c>
      <c r="B12" s="245" t="inlineStr">
        <is>
          <t>Thu</t>
        </is>
      </c>
      <c r="C12" s="245" t="inlineStr">
        <is>
          <t>Desktop</t>
        </is>
      </c>
      <c r="D12" s="245" t="inlineStr">
        <is>
          <t>Finish Local Mode/lapse/renewal merge logic, cold-start retry, conflict surfacing, and no-cloud-write verification.</t>
        </is>
      </c>
      <c r="E12" s="245" t="inlineStr">
        <is>
          <t>(1) Cloud sync fully removed on lapse; automatic resume on renewal; Storage tab shows only 'Cloud sync unavailable' + renew CTA; (2) Renewal checkout (GBP 6 hosting) path from desktop: web cloud-required behaviour, entitlement metadata</t>
        </is>
      </c>
      <c r="F12" s="245" t="inlineStr">
        <is>
          <t>Run the guided lapse → web edit → renewal → desktop merge scenario.</t>
        </is>
      </c>
      <c r="G12" s="245" t="inlineStr">
        <is>
          <t>10 min + 100 min</t>
        </is>
      </c>
      <c r="H12" s="245" t="inlineStr">
        <is>
          <t>—</t>
        </is>
      </c>
      <c r="I12" s="245" t="inlineStr">
        <is>
          <t>Yes</t>
        </is>
      </c>
      <c r="J12" s="245" t="inlineStr">
        <is>
          <t>Done</t>
        </is>
      </c>
      <c r="K12" s="245" t="inlineStr">
        <is>
          <t>Done 2026-10-12 (owner run found a lapse sign-out data-loss bug 9 Oct; fixed in code; on 12 Oct the owner reported the complete lapse -&gt; web edit -&gt; renewal -&gt; desktop merge run, including choosing a scene version then merging, PASSED on Mac build #15; owner-reported, no screenshots) — Merged claude/wonderful-hopper-e5x8qy first (7 Oct close-out and one-day schedule shift; my earlier 8 Oct native-save work was a duplicate of it and was dropped). Verified the existing Local Mode pipeline: lapse base snapshot, three-way reconcile with conflict surfacing, auto-resume on renewal (cloudSyncLapseResume/Reconcile/Resume tests), Storage tab shows only 'Cloud sync unavailable' + renew CTA (AccountSettings, syncStatusLine tests). New tests: useStore.test.js 'lapsed hosting makes no cloud writes' (create/edit/settings with cloud sync off; zero upsert/merge/delete/settings/scene/replace calls after 15 s); create-checkout-session.test.js hosting renewal (hosting_renewal and maintenance) uses the GBP 6 yearly Price and is refused if the Price is not GBP 6/year. npm run qa: 164 files / 1,575 tests (+3 in the two files above), 0 lint errors, build, load check, E2E matrix (52), API ESM pass. Not claimable from the cloud: real lapsed test account, Stripe test renewal, desktop merge on the Mac.</t>
        </is>
      </c>
    </row>
    <row r="13">
      <c r="A13" s="246" t="n">
        <v>46304</v>
      </c>
      <c r="B13" s="245" t="inlineStr">
        <is>
          <t>Fri</t>
        </is>
      </c>
      <c r="C13" s="245" t="inlineStr">
        <is>
          <t>Desktop</t>
        </is>
      </c>
      <c r="D13" s="245" t="inlineStr">
        <is>
          <t>Finalise updater manifests, download entitlement gating, installer URLs, hashes, provenance, and unsigned-app instructions.</t>
        </is>
      </c>
      <c r="E13" s="245" t="inlineStr">
        <is>
          <t>(1) Unsigned-app disclosure shown prominently before purchase (Pricing, Download, FAQ, checkout) plus Gatekeeper/SmartScreen bypass steps; (2) Updater manifest covers every supported platform/architecture; test bad signature, missing platform, offline, interrupted update</t>
        </is>
      </c>
      <c r="F13" s="245" t="inlineStr">
        <is>
          <t>Review the download page and Mac instructions as a customer.</t>
        </is>
      </c>
      <c r="G13" s="245" t="inlineStr">
        <is>
          <t>15 min + up to 3 h 45 min</t>
        </is>
      </c>
      <c r="H13" s="245" t="inlineStr">
        <is>
          <t>O08, O09</t>
        </is>
      </c>
      <c r="I13" s="245" t="inlineStr">
        <is>
          <t>Yes</t>
        </is>
      </c>
      <c r="J13" s="245" t="inlineStr">
        <is>
          <t>Done</t>
        </is>
      </c>
      <c r="K13" s="245" t="inlineStr">
        <is>
          <t>Done 2026-10-12 (the 9 Oct code half was closed 10-12 Oct; on 12 Oct the owner read the Download page as a customer and reported it looks good; owner-reported) — Not done: updater manifests / download gating / installer hashes / unsigned-app disclosure check, and the owner's download-page review (O08/O09 are already Done). Closed on the AI side 10 Oct (see the 10 Oct row below): disclosure on Pricing/FAQ, manifest validator, Windows hashes. Owner download-page review moves to 10 Oct evening / 11 Oct. Carried to 10 Oct with the Mac candidate work; decide on 10 Oct whether the clean-machine Mac checklist still fits that day or moves to 11 Oct (the Product-acceptance days can absorb one day). Also today: pricing paid buttons now read 'Register interest' (owner approved), stale e2e tests refreshed, PR #256 held until all checks were green. Download page (12 Oct): only the macOS card shows because DESKTOP_DOWNLOAD_URL_WINDOWS (and DESKTOP_APP_VERSION) are not set in Vercel yet; set both when the Windows installer is published on 16 Oct.</t>
        </is>
      </c>
    </row>
    <row r="14">
      <c r="A14" s="246" t="n">
        <v>46305</v>
      </c>
      <c r="B14" s="245" t="inlineStr">
        <is>
          <t>Sat</t>
        </is>
      </c>
      <c r="C14" s="245" t="inlineStr">
        <is>
          <t>Desktop</t>
        </is>
      </c>
      <c r="D14" s="245" t="inlineStr">
        <is>
          <t>Produce and inspect the final Mac candidate; drive clean-machine install, workspace, export, restore, updater, and uninstall acceptance.</t>
        </is>
      </c>
      <c r="E14" s="245" t="inlineStr">
        <is>
          <t>(1) Clean-machine Mac: Gatekeeper bypass steps as a customer, install, update from previous release, uninstall leaves vault intact</t>
        </is>
      </c>
      <c r="F14" s="245" t="inlineStr">
        <is>
          <t>Complete the clean/test Mac checklist in two blocks. Carried from 8 Oct (owner parked it 9 Oct): first install Mac build run #9 (or newer) and re-run the lapse -&gt; same-scene web edit -&gt; renewal -&gt; desktop merge test with the designated test account.</t>
        </is>
      </c>
      <c r="G14" s="245" t="inlineStr">
        <is>
          <t>15 min + up to 3 h 45 min</t>
        </is>
      </c>
      <c r="H14" s="245" t="inlineStr">
        <is>
          <t>—</t>
        </is>
      </c>
      <c r="I14" s="245" t="inlineStr">
        <is>
          <t>Yes</t>
        </is>
      </c>
      <c r="J14" s="245" t="inlineStr">
        <is>
          <t>Done</t>
        </is>
      </c>
      <c r="K14" s="245" t="inlineStr">
        <is>
          <t>Done 2026-10-12 (AI work done 10 Oct; owner reported 12 Oct that the clean-machine Mac checklist passed the previous week and the lapse re-test passed on build #15; owner-reported) — Main is green (QA run 926 on 39ba5f9, includes PR #256). Closed the slipped 9 Oct AI items: (1) pre-purchase unsigned-app disclosure now on Pricing (visible note on the Lifetime card plus an FAQ entry), the FAQ page and, already, the Download page (Gatekeeper Open Anyway / SmartScreen Run anyway steps); single source src/data/desktopAppDisclosure.js; (2) scripts/verify-updater-manifest.mjs validates latest.json (both required platforms darwin-aarch64 + windows-x86_64, minisign signature shape, HTTPS release URLs on the matching tag, semver/version match); tests/api/updater-manifest.test.js covers missing platform, bad/empty signature, wrong URL/tag, version mismatch; (3) Windows desktop workflow now writes SHA256SUMS.txt beside the installer (the Mac workflow already did). npm run qa: 165 files / 1,591 tests, 0 lint errors, build, load check, E2E matrix (52), API ESM pass. Not claimable from the cloud: a real update-from-previous-release run, interrupted/offline update behaviour on a device, the clean-machine Mac checklist, and the lapse -&gt; web edit -&gt; renewal -&gt; merge re-test (needs a Mac build that includes commit e1e1981 or newer). The updater signing-key verification of a real signed latest.json needs a signed release build.  Owner report 10 Oct (Mac, lapsed test account): manuscript editor n… (full evidence in docs/ROADMAP.md progress log)</t>
        </is>
      </c>
    </row>
    <row r="15">
      <c r="A15" s="246" t="n">
        <v>46306</v>
      </c>
      <c r="B15" s="245" t="inlineStr">
        <is>
          <t>Sun</t>
        </is>
      </c>
      <c r="C15" s="245" t="inlineStr">
        <is>
          <t>Product acceptance</t>
        </is>
      </c>
      <c r="D15" s="245" t="inlineStr">
        <is>
          <t>Run and repair complete Novella and Short Story workflow, defaults, persistence, and export acceptance.</t>
        </is>
      </c>
      <c r="E15" s="245" t="inlineStr">
        <is>
          <t>(1) Daily-goal streaks: page refresh and project switching while a streak is active, at desktop/tablet/mobile widths; (2) 'Finalise draft' action appears for non-novel types and silently no-ops: hide or make it work, plus regression test; (3) Novella and Short Story starter templates only show their own templates; project-type gate rows for both</t>
        </is>
      </c>
      <c r="F15" s="245" t="inlineStr">
        <is>
          <t>Perform the two guided create → write → export journeys.</t>
        </is>
      </c>
      <c r="G15" s="245" t="inlineStr">
        <is>
          <t>10 min + 100 min</t>
        </is>
      </c>
      <c r="H15" s="245" t="inlineStr">
        <is>
          <t>—</t>
        </is>
      </c>
      <c r="I15" s="245" t="inlineStr">
        <is>
          <t>Yes</t>
        </is>
      </c>
      <c r="J15" s="245" t="inlineStr">
        <is>
          <t>Done</t>
        </is>
      </c>
      <c r="K15" s="245" t="inlineStr">
        <is>
          <t>Done 2026-10-12 (owner reported the Novella and Short Story journeys passed in the browser; owner-reported, no screenshots) — See docs/QA_PLAN.md "2026-10-12 catch-up". Finalise-draft guard test added; Novella/Short Story templates, labels, word targets, exports and daily-goal streak specs pass in Chromium. Owner's two guided journeys not yet run. Also 12 Oct (owner feedback on the journeys and builds): maps added to the Word-documents ZIP; resizable Square/Hex grid overlay for D&amp;D and TTRPG maps; thin inset map frame removed; Nocturne Grove Line colour #253030 (--border, --color-line and the theme editor swatch). See docs/QA_PLAN.md "2026-10-12 catch-up".</t>
        </is>
      </c>
    </row>
    <row r="16">
      <c r="A16" s="246" t="n">
        <v>46307</v>
      </c>
      <c r="B16" s="245" t="inlineStr">
        <is>
          <t>Mon</t>
        </is>
      </c>
      <c r="C16" s="245" t="inlineStr">
        <is>
          <t>Product acceptance</t>
        </is>
      </c>
      <c r="D16" s="245" t="inlineStr">
        <is>
          <t>Run and repair complete D&amp;D and TTRPG prep/recap, Character Builder, map/default, AI-context, and export acceptance.</t>
        </is>
      </c>
      <c r="E16" s="245" t="inlineStr">
        <is>
          <t>(1) D&amp;D/TTRPG project-type-aware AI behaviour (DM-side vs GM-side framing): prepare the guided checks; owner runs them with their own AI key on 18 Oct; (2) Session prep/recap persistence, default-section visibility and export for both campaign types</t>
        </is>
      </c>
      <c r="F16" s="245" t="inlineStr">
        <is>
          <t>Perform the two guided campaign journeys using disposable campaigns.</t>
        </is>
      </c>
      <c r="G16" s="245" t="inlineStr">
        <is>
          <t>10 min + 100 min</t>
        </is>
      </c>
      <c r="H16" s="245" t="inlineStr">
        <is>
          <t>—</t>
        </is>
      </c>
      <c r="I16" s="245" t="inlineStr">
        <is>
          <t>Yes</t>
        </is>
      </c>
      <c r="J16" s="245" t="inlineStr">
        <is>
          <t>Done</t>
        </is>
      </c>
      <c r="K16" s="245" t="inlineStr">
        <is>
          <t>Done 2026-10-12 (owner reported the D&amp;D and TTRPG journeys passed in the browser, optional Mac items 8 and 9 passed, and Mac build #17 re-checks all good; owner-reported, no screenshots) — Also closed the 9 Oct code half: unsigned-app disclosure on Pricing and FAQ, updater-manifest validation (6 tests). npm run qa 166 files / 1,592 tests, 0 lint errors. Campaign label/default/Party-tab specs pass; D&amp;D/TTRPG prep/recap persistence, Character Builder, map defaults, AI framing and export acceptance not yet run. Builds and fixes today: Cloud Sync resume did not persist scenes error (owner chose a scene version, then merged): flushPendingSync now waits for in-flight cloud saves, verification compares by value and names differing fields; owner confirmed the merge passes on Mac build #15. Merged o7xim7 (resume-merge and desktop-limit fixes) into this branch. Account Settings now shows app version, platform and build commit (src/utils/appVersion.js). Mac builds #15 (c177156), #16 (0461940), #17 (aba4204). npm run qa equivalent: 169 files / 1,620 tests, 0 lint errors. Still open: owner's Windows version (winver, due before 16 Oct); fallback launch date (D6, by 24 Oct); Windows download link/version in Vercel on 16 Oct.</t>
        </is>
      </c>
    </row>
    <row r="17">
      <c r="A17" s="246" t="n">
        <v>46308</v>
      </c>
      <c r="B17" s="245" t="inlineStr">
        <is>
          <t>Tue</t>
        </is>
      </c>
      <c r="C17" s="245" t="inlineStr">
        <is>
          <t>Product acceptance</t>
        </is>
      </c>
      <c r="D17" s="245" t="inlineStr">
        <is>
          <t>Run and repair Novel and Comic live-cloud, large-project, and complete export acceptance.</t>
        </is>
      </c>
      <c r="E17" s="245" t="inlineStr">
        <is>
          <t>(1) Local write path / media upload: live-account upload QA well beyond the old 5-10 MB localStorage cap; (2) Novel finalised-draft reader and snapshots: multiple snapshots, previous/next, non-novel hiding; (3) Comic/Graphic Novel live-Supabase and large-project pass (browser-level QA already passed)</t>
        </is>
      </c>
      <c r="F17" s="245" t="inlineStr">
        <is>
          <t>Perform the guided Novel and Comic journeys.</t>
        </is>
      </c>
      <c r="G17" s="245" t="inlineStr">
        <is>
          <t>10 min + 100 min</t>
        </is>
      </c>
      <c r="H17" s="245" t="inlineStr">
        <is>
          <t>—</t>
        </is>
      </c>
      <c r="I17" s="245" t="inlineStr">
        <is>
          <t>Yes</t>
        </is>
      </c>
      <c r="J17" s="245" t="inlineStr">
        <is>
          <t>Done</t>
        </is>
      </c>
      <c r="K17" s="245" t="inlineStr">
        <is>
          <t>Done 13 Oct - automated acceptance green; you reported the Novel and Comic journeys passed.</t>
        </is>
      </c>
    </row>
    <row r="18">
      <c r="A18" s="246" t="n">
        <v>46309</v>
      </c>
      <c r="B18" s="245" t="inlineStr">
        <is>
          <t>Wed</t>
        </is>
      </c>
      <c r="C18" s="245" t="inlineStr">
        <is>
          <t>Product acceptance</t>
        </is>
      </c>
      <c r="D18" s="245" t="inlineStr">
        <is>
          <t>Run the full Map Builder owner checklist and repair interaction, layer, persistence, responsive, and export defects.</t>
        </is>
      </c>
      <c r="E18" s="245" t="inlineStr">
        <is>
          <t>(1) Reliable map builder acceptance: persistence, grid overlay, JSON import/export, restore from ZIP, high-res PNG, undo/redo, all four map types</t>
        </is>
      </c>
      <c r="F18" s="245" t="inlineStr">
        <is>
          <t>Complete the guided map workflow and inspect its exports.</t>
        </is>
      </c>
      <c r="G18" s="245" t="inlineStr">
        <is>
          <t>10 min + 100 min</t>
        </is>
      </c>
      <c r="H18" s="245" t="inlineStr">
        <is>
          <t>—</t>
        </is>
      </c>
      <c r="I18" s="245" t="inlineStr">
        <is>
          <t>Yes</t>
        </is>
      </c>
      <c r="J18" s="245" t="inlineStr">
        <is>
          <t>Done</t>
        </is>
      </c>
      <c r="K18" s="245" t="inlineStr">
        <is>
          <t>Done 14 Oct - Map Builder check run; grid fixed in code same day, re-check after deploy.</t>
        </is>
      </c>
    </row>
    <row r="19">
      <c r="A19" s="246" t="n">
        <v>46310</v>
      </c>
      <c r="B19" s="245" t="inlineStr">
        <is>
          <t>Thu</t>
        </is>
      </c>
      <c r="C19" s="245" t="inlineStr">
        <is>
          <t>Product acceptance</t>
        </is>
      </c>
      <c r="D19" s="245" t="inlineStr">
        <is>
          <t>Consolidate remaining Characters, Locations, Lore, Timeline/History, Family/Factions, Series, Schedule, Focused Writing, and AI Import checks.</t>
        </is>
      </c>
      <c r="E19" s="245" t="inlineStr">
        <is>
          <t>(1) Characters: live-sync/media, stale-selection repair and rendered export; Character journey/arc tracking acceptance; (2) Locations link cleanup; Lore and Timeline/History on a real synced multi-project series; (3) Character relationship mapping full-network canvas: browser and live-sync QA; (4) Factions, family groups and Founders directory acceptance; (5) Series management and cross-project references; configurable Schedule calendar; Focused writing mode; AI Import for all six types; (6) Fresh mobile pass on modals/overlays; AI suggestion mode; theme customisation; corner-roundness save-to-profile</t>
        </is>
      </c>
      <c r="F19" s="245" t="inlineStr">
        <is>
          <t>Work through the short owner verification packet; flag only reproducible failures.</t>
        </is>
      </c>
      <c r="G19" s="245" t="inlineStr">
        <is>
          <t>10 min + 100 min</t>
        </is>
      </c>
      <c r="H19" s="245" t="inlineStr">
        <is>
          <t>—</t>
        </is>
      </c>
      <c r="I19" s="245" t="inlineStr">
        <is>
          <t>Yes</t>
        </is>
      </c>
      <c r="J19" s="245" t="inlineStr">
        <is>
          <t>Done</t>
        </is>
      </c>
      <c r="K19" s="245" t="inlineStr">
        <is>
          <t>Done 16 Oct - automated checks green; you reported the live-account packet passed.</t>
        </is>
      </c>
    </row>
    <row r="20">
      <c r="A20" s="246" t="n">
        <v>46311</v>
      </c>
      <c r="B20" s="245" t="inlineStr">
        <is>
          <t>Fri</t>
        </is>
      </c>
      <c r="C20" s="245" t="inlineStr">
        <is>
          <t>Desktop</t>
        </is>
      </c>
      <c r="D20" s="245" t="inlineStr">
        <is>
          <t>Produce the Windows candidate in CI and drive Windows clean-machine/WebView2/install/export/updater/uninstall acceptance; close the Desktop Gate.</t>
        </is>
      </c>
      <c r="E20" s="245" t="inlineStr">
        <is>
          <t>(1) Windows: SmartScreen bypass steps, WebView2 install, Explorer reveal, updater, uninstall; close Desktop Gate and the desktop row of the Scope gate</t>
        </is>
      </c>
      <c r="F20" s="245" t="inlineStr">
        <is>
          <t>Complete or coordinate the Windows checklist, then review the combined desktop evidence.</t>
        </is>
      </c>
      <c r="G20" s="245" t="inlineStr">
        <is>
          <t>15 min + up to 3 h 45 min</t>
        </is>
      </c>
      <c r="H20" s="245" t="inlineStr">
        <is>
          <t>—</t>
        </is>
      </c>
      <c r="I20" s="245" t="inlineStr">
        <is>
          <t>Yes</t>
        </is>
      </c>
      <c r="J20" s="245" t="inlineStr">
        <is>
          <t>Done</t>
        </is>
      </c>
      <c r="K20" s="245" t="inlineStr">
        <is>
          <t>Done 18 Oct - Windows checklist passed on your real PC (installer hash comparison skipped).</t>
        </is>
      </c>
    </row>
    <row r="21">
      <c r="A21" s="246" t="n">
        <v>46312</v>
      </c>
      <c r="B21" s="245" t="inlineStr">
        <is>
          <t>Sat</t>
        </is>
      </c>
      <c r="C21" s="245" t="inlineStr">
        <is>
          <t>Product acceptance</t>
        </is>
      </c>
      <c r="D21" s="245" t="inlineStr">
        <is>
          <t>Run realistic large-project performance plus 375/768/desktop, keyboard, focus, contrast, real-iPhone, and theme acceptance; fix blockers.</t>
        </is>
      </c>
      <c r="E21" s="245" t="inlineStr">
        <is>
          <t>(1) Performance budgets: route/bundle budgets set and met; cold/warm load on low/mid hardware with a realistic 80k+ word project; (2) Very large single scene with a note attached: fix or ship a documented limit (see Decisions D1); (3) Real iPhone Safari: address bar does not collapse (marked NOT fixed 23 Sep) and white bars above/below the page; (4) Remaining contrast-pass installments; Chromium, Safari and Firefox at 375/768/desktop; keyboard-only and VoiceOver pass</t>
        </is>
      </c>
      <c r="F21" s="245" t="inlineStr">
        <is>
          <t>Complete device/accessibility tests in two focused blocks. (includes O10: Firefox, Safari, VoiceOver.)</t>
        </is>
      </c>
      <c r="G21" s="245" t="inlineStr">
        <is>
          <t>15 min + up to 3 h 45 min</t>
        </is>
      </c>
      <c r="H21" s="245" t="inlineStr">
        <is>
          <t>—</t>
        </is>
      </c>
      <c r="I21" s="245" t="inlineStr">
        <is>
          <t>Yes</t>
        </is>
      </c>
      <c r="J21" s="245" t="inlineStr">
        <is>
          <t>In progress</t>
        </is>
      </c>
      <c r="K21" s="245" t="inlineStr">
        <is>
          <t>Automated half done. Mobile/iPhone parked (decision D12). Still yours: desktop Safari/Firefox, keyboard-only and VoiceOver run (O10).</t>
        </is>
      </c>
    </row>
    <row r="22">
      <c r="A22" s="246" t="n">
        <v>46313</v>
      </c>
      <c r="B22" s="245" t="inlineStr">
        <is>
          <t>Sun</t>
        </is>
      </c>
      <c r="C22" s="245" t="inlineStr">
        <is>
          <t>Product acceptance</t>
        </is>
      </c>
      <c r="D22" s="245" t="inlineStr">
        <is>
          <t>Test the two advertised AI providers, OpenRouter and OpenAI, with the owner's own keys: context grounding, errors/retry, secret isolation. Label all other providers 'not tested' in the app.</t>
        </is>
      </c>
      <c r="E22" s="245" t="inlineStr">
        <is>
          <t>(1) AI key isolation and cross-device sync with two real accounts using OpenRouter and OpenAI keys; proxy transport; (2) AI chat context controls and budget awareness with real OpenRouter and OpenAI models; grounding QA; (3) Named-provider allow-list and untested-provider labelling behave as decided in D5/D9 (no custom endpoints, no advertising of other providers)</t>
        </is>
      </c>
      <c r="F22" s="245" t="inlineStr">
        <is>
          <t>Supply OpenRouter and OpenAI access without sharing secrets and run the guided provider checks (includes O07 and the D&amp;D/TTRPG AI framing checks).</t>
        </is>
      </c>
      <c r="G22" s="245" t="inlineStr">
        <is>
          <t>10 min + 100 min</t>
        </is>
      </c>
      <c r="H22" s="245" t="inlineStr">
        <is>
          <t>—</t>
        </is>
      </c>
      <c r="I22" s="245" t="inlineStr">
        <is>
          <t>Yes</t>
        </is>
      </c>
      <c r="J22" s="245" t="inlineStr">
        <is>
          <t>Done</t>
        </is>
      </c>
      <c r="K22" s="245" t="inlineStr">
        <is>
          <t>Done - O07 (OpenRouter + OpenAI keys, two accounts, DM/GM framing) reported passed 19 Oct.</t>
        </is>
      </c>
    </row>
    <row r="23">
      <c r="A23" s="246" t="n">
        <v>46314</v>
      </c>
      <c r="B23" s="245" t="inlineStr">
        <is>
          <t>Mon</t>
        </is>
      </c>
      <c r="C23" s="245" t="inlineStr">
        <is>
          <t>Product acceptance</t>
        </is>
      </c>
      <c r="D23" s="245" t="inlineStr">
        <is>
          <t>Test AI chat persistence and export, then rerun all six project-type exports.</t>
        </is>
      </c>
      <c r="E23" s="245" t="inlineStr">
        <is>
          <t>(1) Full AI chat panel saved as a project entry and exported to Word; AI Import for all six project types using OpenRouter/OpenAI; (2) docs/AI_PROVIDER_COMPLIANCE.md lists exactly OpenRouter and OpenAI as supported; (3) Close the Project-type gate and Product acceptance evidence for all six types</t>
        </is>
      </c>
      <c r="F23" s="245" t="inlineStr">
        <is>
          <t>Complete the Product Gate review.</t>
        </is>
      </c>
      <c r="G23" s="245" t="inlineStr">
        <is>
          <t>10 min + 100 min</t>
        </is>
      </c>
      <c r="H23" s="245" t="inlineStr">
        <is>
          <t>—</t>
        </is>
      </c>
      <c r="I23" s="245" t="inlineStr">
        <is>
          <t>Yes</t>
        </is>
      </c>
      <c r="J23" s="245" t="inlineStr">
        <is>
          <t>Done</t>
        </is>
      </c>
      <c r="K23" s="245" t="inlineStr">
        <is>
          <t>Done 19 Oct - Project-type gate closed; AI Import structure fixes deployed (PR #259).</t>
        </is>
      </c>
    </row>
    <row r="24">
      <c r="A24" s="246" t="n">
        <v>46315</v>
      </c>
      <c r="B24" s="245" t="inlineStr">
        <is>
          <t>Tue</t>
        </is>
      </c>
      <c r="C24" s="245" t="inlineStr">
        <is>
          <t>Payments &amp; release</t>
        </is>
      </c>
      <c r="D24" s="245" t="inlineStr">
        <is>
          <t>Reconcile Pricing, FAQ, Terms, Privacy, cancellation, storage, Local Mode, expiry, Founder, AI, export, SEO, and marketing promises.</t>
        </is>
      </c>
      <c r="E24" s="245" t="inlineStr">
        <is>
          <t>(1) AI provider scope (D5/D9): every mention outside OpenRouter and OpenAI is removed from Pricing, FAQ, Features, AI overview page, llms.txt, onboarding, emails and docs/AI_PROVIDER_COMPLIANCE.md; the in-app provider picker labels the others 'not tested / not officially supported'; (2) Resolve every item in marketing-copy-review/COPY_CONFLICTS.md and verify Homepage, Pricing, Features, FAQ, Download, Founders, SEO pages, emails, legal modal, llms.txt, schema and Checkout say the same facts; (3) Remove player/public-discovery implications from D&amp;D/TTRPG copy (shared projects, player portals, VTT and mobile apps are excluded); (4) SEO deployment and Search Console sitemap validation; landing page defects; (5) Legal and promise gate: Terms/Privacy final owner review, Beta 30-day notice wording, Local Mode/expiry/quota promises</t>
        </is>
      </c>
      <c r="F24" s="245" t="inlineStr">
        <is>
          <t>Read the plain-English change packet and approve or correct the final customer promises.</t>
        </is>
      </c>
      <c r="G24" s="245" t="inlineStr">
        <is>
          <t>10 min + 100 min</t>
        </is>
      </c>
      <c r="H24" s="245" t="inlineStr">
        <is>
          <t>—</t>
        </is>
      </c>
      <c r="I24" s="245" t="inlineStr">
        <is>
          <t>Yes</t>
        </is>
      </c>
      <c r="J24" s="245" t="inlineStr">
        <is>
          <t>In progress</t>
        </is>
      </c>
      <c r="K24" s="245" t="inlineStr">
        <is>
          <t>AI-provider copy scrubbed and mobile promise fixed. Still to do (AI): Terms/Privacy fact check and COPY_CONFLICTS final pass.</t>
        </is>
      </c>
    </row>
    <row r="25">
      <c r="A25" s="246" t="n">
        <v>46316</v>
      </c>
      <c r="B25" s="245" t="inlineStr">
        <is>
          <t>Wed</t>
        </is>
      </c>
      <c r="C25" s="245" t="inlineStr">
        <is>
          <t>Payments &amp; release</t>
        </is>
      </c>
      <c r="D25" s="245" t="inlineStr">
        <is>
          <t>Audit Stripe configuration, webhook idempotency, entitlement fulfilment, refunds/disputes, Founder allocation, and the test-mode runbook.</t>
        </is>
      </c>
      <c r="E25" s="245" t="inlineStr">
        <is>
          <t>(1) Durable Stripe event ledger: replay every supported event at least 3 times; entitlements, dates, Founder counts, emails change exactly once; (2) Price/quota matrix (GBP 10 / 99 / 299 / 6) matches Stripe test Price objects and Checkout line items; repo search for stale prices; (3) Remove/migrate the temporary paid-interest 'coming soon' flow and its automatic Beta entitlement; real checkout CTAs behind a launch switch; (4) Founder concurrency: simultaneous checkouts never exceed the approved cap; (5) Prepare the exact Vercel test-mode secrets swap and return-to-live checklist (names only, never values)</t>
        </is>
      </c>
      <c r="F25" s="245" t="inlineStr">
        <is>
          <t>Open Stripe/Supabase only when guided and confirm the displayed test configuration.</t>
        </is>
      </c>
      <c r="G25" s="245" t="inlineStr">
        <is>
          <t>10 min + 90 min</t>
        </is>
      </c>
      <c r="H25" s="245" t="inlineStr">
        <is>
          <t>—</t>
        </is>
      </c>
      <c r="I25" s="245" t="inlineStr">
        <is>
          <t>Yes</t>
        </is>
      </c>
      <c r="J25" s="245" t="inlineStr">
        <is>
          <t>In progress</t>
        </is>
      </c>
      <c r="K25" s="245" t="inlineStr">
        <is>
          <t>Checkout launch switch built (off), Stripe runbook written, tests green. You confirmed Stripe test config 22 Oct. Remaining: test-mode journey on 22 Oct.</t>
        </is>
      </c>
    </row>
    <row r="26">
      <c r="A26" s="246" t="n">
        <v>46317</v>
      </c>
      <c r="B26" s="245" t="inlineStr">
        <is>
          <t>Thu</t>
        </is>
      </c>
      <c r="C26" s="245" t="inlineStr">
        <is>
          <t>Payments &amp; release</t>
        </is>
      </c>
      <c r="D26" s="245" t="inlineStr">
        <is>
          <t>Drive the full Stripe test-mode journey one step at a time: Monthly, Lifetime, Founder, renewal, cancel/failure, replay, refund, and dispute.</t>
        </is>
      </c>
      <c r="E26" s="245" t="inlineStr">
        <is>
          <t>(1) GBP 6 hosting renewal, failure/cancel checks, async payments, out-of-order webhooks; (2) Live-account QA of the 'Downgrade to Free' fix for manually-upgraded accounts and real Stripe portal unaffected</t>
        </is>
      </c>
      <c r="F26" s="245" t="inlineStr">
        <is>
          <t>Complete guided test payments and verify app access after each event.</t>
        </is>
      </c>
      <c r="G26" s="245" t="inlineStr">
        <is>
          <t>10 min + 110 min</t>
        </is>
      </c>
      <c r="H26" s="245" t="inlineStr">
        <is>
          <t>—</t>
        </is>
      </c>
      <c r="I26" s="245" t="inlineStr">
        <is>
          <t>Yes</t>
        </is>
      </c>
      <c r="J26" s="245" t="inlineStr">
        <is>
          <t>Not started</t>
        </is>
      </c>
      <c r="K26" s="245" t="inlineStr"/>
    </row>
    <row r="27">
      <c r="A27" s="246" t="n">
        <v>46318</v>
      </c>
      <c r="B27" s="245" t="inlineStr">
        <is>
          <t>Fri</t>
        </is>
      </c>
      <c r="C27" s="245" t="inlineStr">
        <is>
          <t>Payments &amp; release</t>
        </is>
      </c>
      <c r="D27" s="245" t="inlineStr">
        <is>
          <t>Prepare the reversible Beta-closure/migration operation, final website copy, screenshots, launch post, ads, support replies, and analytics checks without publishing.</t>
        </is>
      </c>
      <c r="E27" s="245" t="inlineStr">
        <is>
          <t>(1) Return-to-live prepared: swap back to live secrets/prices/webhook is a written one-step runbook; live configuration review without a purchase; (2) Prepared release sets YOW_BETA_ENROLLMENT_CLOSED=true and stamps beta_notice_started_at to the launch timestamp; existing testers keep access/exports; (3) Support inbox and email checks: support@ and founders@ receive and can reply; welcome/reset emails come from the right sender</t>
        </is>
      </c>
      <c r="F27" s="245" t="inlineStr">
        <is>
          <t>Approve the prepared launch assets and Beta transition wording; publish nothing.</t>
        </is>
      </c>
      <c r="G27" s="245" t="inlineStr">
        <is>
          <t>15 min + up to 3 h 45 min</t>
        </is>
      </c>
      <c r="H27" s="245" t="inlineStr">
        <is>
          <t>O11</t>
        </is>
      </c>
      <c r="I27" s="245" t="inlineStr">
        <is>
          <t>Yes</t>
        </is>
      </c>
      <c r="J27" s="245" t="inlineStr">
        <is>
          <t>Not started</t>
        </is>
      </c>
      <c r="K27" s="245" t="inlineStr"/>
    </row>
    <row r="28">
      <c r="A28" s="246" t="n">
        <v>46319</v>
      </c>
      <c r="B28" s="245" t="inlineStr">
        <is>
          <t>Sat</t>
        </is>
      </c>
      <c r="C28" s="245" t="inlineStr">
        <is>
          <t>Buffer</t>
        </is>
      </c>
      <c r="D28" s="245" t="inlineStr">
        <is>
          <t>Buffer and catch-up: repair anything still red from 1-23 Oct, rerun the affected gate checks, update every Launch Readiness Gate row with evidence.</t>
        </is>
      </c>
      <c r="E28" s="245" t="inlineStr">
        <is>
          <t>—</t>
        </is>
      </c>
      <c r="F28" s="245" t="inlineStr">
        <is>
          <t>Do your remaining overflow items (O12, O13); free otherwise. Decision D6 (latest acceptable launch slip) is due today.</t>
        </is>
      </c>
      <c r="G28" s="245" t="inlineStr">
        <is>
          <t>15 min + up to 3 h 45 min</t>
        </is>
      </c>
      <c r="H28" s="245" t="inlineStr">
        <is>
          <t>O12, O13</t>
        </is>
      </c>
      <c r="I28" s="245" t="inlineStr">
        <is>
          <t>Yes</t>
        </is>
      </c>
      <c r="J28" s="245" t="inlineStr">
        <is>
          <t>Not started</t>
        </is>
      </c>
      <c r="K28" s="245" t="inlineStr"/>
    </row>
    <row r="29">
      <c r="A29" s="246" t="n">
        <v>46320</v>
      </c>
      <c r="B29" s="245" t="inlineStr">
        <is>
          <t>Sun</t>
        </is>
      </c>
      <c r="C29" s="245" t="inlineStr">
        <is>
          <t>Buffer</t>
        </is>
      </c>
      <c r="D29" s="245" t="inlineStr">
        <is>
          <t>Buffer: repair red items; rerun the full automated gate (npm run qa, Playwright, Rust/desktop checks) to surface blockers early.</t>
        </is>
      </c>
      <c r="E29" s="245" t="inlineStr">
        <is>
          <t>—</t>
        </is>
      </c>
      <c r="F29" s="245" t="inlineStr">
        <is>
          <t>Only the verification steps the AI asks for; otherwise free.</t>
        </is>
      </c>
      <c r="G29" s="245" t="inlineStr">
        <is>
          <t>10 min + 110 min</t>
        </is>
      </c>
      <c r="H29" s="245" t="inlineStr">
        <is>
          <t>—</t>
        </is>
      </c>
      <c r="I29" s="245" t="inlineStr">
        <is>
          <t>Yes</t>
        </is>
      </c>
      <c r="J29" s="245" t="inlineStr">
        <is>
          <t>Not started</t>
        </is>
      </c>
      <c r="K29" s="245" t="inlineStr"/>
    </row>
    <row r="30">
      <c r="A30" s="246" t="n">
        <v>46321</v>
      </c>
      <c r="B30" s="245" t="inlineStr">
        <is>
          <t>Mon</t>
        </is>
      </c>
      <c r="C30" s="245" t="inlineStr">
        <is>
          <t>Buffer</t>
        </is>
      </c>
      <c r="D30" s="245" t="inlineStr">
        <is>
          <t>Buffer: repair red items; rerun security review (auth, RLS, webhook, secrets) on everything changed since 1 Oct.</t>
        </is>
      </c>
      <c r="E30" s="245" t="inlineStr">
        <is>
          <t>—</t>
        </is>
      </c>
      <c r="F30" s="245" t="inlineStr">
        <is>
          <t>Only the verification steps the AI asks for; otherwise free.</t>
        </is>
      </c>
      <c r="G30" s="245" t="inlineStr">
        <is>
          <t>10 min + 110 min</t>
        </is>
      </c>
      <c r="H30" s="245" t="inlineStr">
        <is>
          <t>—</t>
        </is>
      </c>
      <c r="I30" s="245" t="inlineStr">
        <is>
          <t>Yes</t>
        </is>
      </c>
      <c r="J30" s="245" t="inlineStr">
        <is>
          <t>Not started</t>
        </is>
      </c>
      <c r="K30" s="245" t="inlineStr"/>
    </row>
    <row r="31">
      <c r="A31" s="246" t="n">
        <v>46322</v>
      </c>
      <c r="B31" s="245" t="inlineStr">
        <is>
          <t>Tue</t>
        </is>
      </c>
      <c r="C31" s="245" t="inlineStr">
        <is>
          <t>Buffer</t>
        </is>
      </c>
      <c r="D31" s="245" t="inlineStr">
        <is>
          <t>Buffer: rerun the complete data-safety/auth/export matrix against the latest build; fix failures in priority order.</t>
        </is>
      </c>
      <c r="E31" s="245" t="inlineStr">
        <is>
          <t>—</t>
        </is>
      </c>
      <c r="F31" s="245" t="inlineStr">
        <is>
          <t>Only the verification steps the AI asks for; otherwise free.</t>
        </is>
      </c>
      <c r="G31" s="245" t="inlineStr">
        <is>
          <t>10 min + 110 min</t>
        </is>
      </c>
      <c r="H31" s="245" t="inlineStr">
        <is>
          <t>—</t>
        </is>
      </c>
      <c r="I31" s="245" t="inlineStr">
        <is>
          <t>Yes</t>
        </is>
      </c>
      <c r="J31" s="245" t="inlineStr">
        <is>
          <t>Not started</t>
        </is>
      </c>
      <c r="K31" s="245" t="inlineStr"/>
    </row>
    <row r="32">
      <c r="A32" s="246" t="n">
        <v>46323</v>
      </c>
      <c r="B32" s="245" t="inlineStr">
        <is>
          <t>Wed</t>
        </is>
      </c>
      <c r="C32" s="245" t="inlineStr">
        <is>
          <t>Buffer</t>
        </is>
      </c>
      <c r="D32" s="245" t="inlineStr">
        <is>
          <t>Pre-freeze: review every gate. If all are green, draft the go/no-go packet; if not, list the exact blockers and a repair plan for 29 Oct.</t>
        </is>
      </c>
      <c r="E32" s="245" t="inlineStr">
        <is>
          <t>—</t>
        </is>
      </c>
      <c r="F32" s="245" t="inlineStr">
        <is>
          <t>Read the gate summary and confirm you are ready to freeze on 29 Oct.</t>
        </is>
      </c>
      <c r="G32" s="245" t="inlineStr">
        <is>
          <t>10 min + 110 min</t>
        </is>
      </c>
      <c r="H32" s="245" t="inlineStr">
        <is>
          <t>—</t>
        </is>
      </c>
      <c r="I32" s="245" t="inlineStr">
        <is>
          <t>Yes</t>
        </is>
      </c>
      <c r="J32" s="245" t="inlineStr">
        <is>
          <t>Not started</t>
        </is>
      </c>
      <c r="K32" s="245" t="inlineStr"/>
    </row>
    <row r="33">
      <c r="A33" s="246" t="n">
        <v>46324</v>
      </c>
      <c r="B33" s="245" t="inlineStr">
        <is>
          <t>Thu</t>
        </is>
      </c>
      <c r="C33" s="245" t="inlineStr">
        <is>
          <t>Payments &amp; release</t>
        </is>
      </c>
      <c r="D33" s="245" t="inlineStr">
        <is>
          <t>Freeze Release Candidate 1; run full automated/browser/Rust/build/security/marketing checks and produce the final go/no-go packet.</t>
        </is>
      </c>
      <c r="E33" s="245" t="inlineStr">
        <is>
          <t>(1) Final Launch Readiness Gate table update: every gate Passed with evidence or an explicit re-decision; production-deploy checks queued for 1 Nov</t>
        </is>
      </c>
      <c r="F33" s="245" t="inlineStr">
        <is>
          <t>Perform one 60-minute customer smoke test and make the formal go/no-go decision.</t>
        </is>
      </c>
      <c r="G33" s="245" t="inlineStr">
        <is>
          <t>10 min + 105 min</t>
        </is>
      </c>
      <c r="H33" s="245" t="inlineStr">
        <is>
          <t>—</t>
        </is>
      </c>
      <c r="I33" s="245" t="inlineStr">
        <is>
          <t>Yes</t>
        </is>
      </c>
      <c r="J33" s="245" t="inlineStr">
        <is>
          <t>Not started</t>
        </is>
      </c>
      <c r="K33" s="245" t="inlineStr"/>
    </row>
    <row r="34">
      <c r="A34" s="246" t="n">
        <v>46325</v>
      </c>
      <c r="B34" s="245" t="inlineStr">
        <is>
          <t>Fri</t>
        </is>
      </c>
      <c r="C34" s="245" t="inlineStr">
        <is>
          <t>Payments &amp; release</t>
        </is>
      </c>
      <c r="D34" s="245" t="inlineStr">
        <is>
          <t>Repair only launch blockers, rerun the full gate, take backups, verify rollback/checkout-disable/support procedures, and rehearse the exact production release.</t>
        </is>
      </c>
      <c r="E34" s="245" t="inlineStr">
        <is>
          <t>(1) Supabase and project backups taken and restore-tested; checkout-disable switch and rollback tested on the rehearsal</t>
        </is>
      </c>
      <c r="F34" s="245" t="inlineStr">
        <is>
          <t>Complete the full launch rehearsal in two blocks; checkout remains off.</t>
        </is>
      </c>
      <c r="G34" s="245" t="inlineStr">
        <is>
          <t>15 min + up to 3 h 45 min</t>
        </is>
      </c>
      <c r="H34" s="245" t="inlineStr">
        <is>
          <t>—</t>
        </is>
      </c>
      <c r="I34" s="245" t="inlineStr">
        <is>
          <t>Yes</t>
        </is>
      </c>
      <c r="J34" s="245" t="inlineStr">
        <is>
          <t>Not started</t>
        </is>
      </c>
      <c r="K34" s="245" t="inlineStr"/>
    </row>
    <row r="35">
      <c r="A35" s="246" t="n">
        <v>46326</v>
      </c>
      <c r="B35" s="245" t="inlineStr">
        <is>
          <t>Sat</t>
        </is>
      </c>
      <c r="C35" s="245" t="inlineStr">
        <is>
          <t>Buffer</t>
        </is>
      </c>
      <c r="D35" s="245" t="inlineStr">
        <is>
          <t>Spare buffer day created by the 7 Oct pull-forward: repair anything still red, rerun the full automated gate and the data-safety/export matrix on the release candidate, and finish rollback/support preparation for 1 Nov. Launch dates do not move.</t>
        </is>
      </c>
      <c r="E35" s="245" t="inlineStr">
        <is>
          <t>—</t>
        </is>
      </c>
      <c r="F35" s="245" t="inlineStr">
        <is>
          <t>Only the verification steps the AI asks for; otherwise free.</t>
        </is>
      </c>
      <c r="G35" s="245" t="inlineStr">
        <is>
          <t>10 min + 100 min</t>
        </is>
      </c>
      <c r="H35" s="245" t="inlineStr">
        <is>
          <t>—</t>
        </is>
      </c>
      <c r="I35" s="245" t="inlineStr">
        <is>
          <t>Yes</t>
        </is>
      </c>
      <c r="J35" s="245" t="inlineStr">
        <is>
          <t>Not started</t>
        </is>
      </c>
      <c r="K35" s="245" t="inlineStr"/>
    </row>
    <row r="36">
      <c r="A36" s="246" t="n">
        <v>46327</v>
      </c>
      <c r="B36" s="245" t="inlineStr">
        <is>
          <t>Sun</t>
        </is>
      </c>
      <c r="C36" s="245" t="inlineStr">
        <is>
          <t>Quiet release</t>
        </is>
      </c>
      <c r="D36" s="245" t="inlineStr">
        <is>
          <t>If every hard gate is green: take final backups, deploy the approved release, close public Beta enrollment, preserve existing testers, enable checkout quietly, and monitor.</t>
        </is>
      </c>
      <c r="E36" s="245" t="inlineStr">
        <is>
          <t>(1) Post-deploy production checks: security headers, canonical redirect, Founder slot display, checkout, entitlement, save/export</t>
        </is>
      </c>
      <c r="F36" s="245" t="inlineStr">
        <is>
          <t>Complete one real purchase, verify entitlement/save/export/refund-support paths, and keep rollback ready. No advertising today.</t>
        </is>
      </c>
      <c r="G36" s="245" t="inlineStr">
        <is>
          <t>15 min + up to 3 h 45 min</t>
        </is>
      </c>
      <c r="H36" s="245" t="inlineStr">
        <is>
          <t>O15</t>
        </is>
      </c>
      <c r="I36" s="245" t="inlineStr">
        <is>
          <t>Yes</t>
        </is>
      </c>
      <c r="J36" s="245" t="inlineStr">
        <is>
          <t>Not started</t>
        </is>
      </c>
      <c r="K36" s="245" t="inlineStr"/>
    </row>
    <row r="37">
      <c r="A37" s="246" t="n">
        <v>46328</v>
      </c>
      <c r="B37" s="245" t="inlineStr">
        <is>
          <t>Mon</t>
        </is>
      </c>
      <c r="C37" s="245" t="inlineStr">
        <is>
          <t>Public launch</t>
        </is>
      </c>
      <c r="D37" s="245" t="inlineStr">
        <is>
          <t>Recheck overnight errors, payments, entitlements, email, analytics, and support; fix only launch blockers, then publish approved marketing.</t>
        </is>
      </c>
      <c r="E37" s="245" t="inlineStr">
        <is>
          <t>(1) Search Console/analytics/support monitoring active; approved marketing prepared for the owner to publish</t>
        </is>
      </c>
      <c r="F37" s="245" t="inlineStr">
        <is>
          <t>Review the morning evidence, approve the public announcement/ads, and monitor the first responses that evening.</t>
        </is>
      </c>
      <c r="G37" s="245" t="inlineStr">
        <is>
          <t>10 min + 100 min</t>
        </is>
      </c>
      <c r="H37" s="245" t="inlineStr">
        <is>
          <t>—</t>
        </is>
      </c>
      <c r="I37" s="245" t="inlineStr">
        <is>
          <t>Yes</t>
        </is>
      </c>
      <c r="J37" s="245" t="inlineStr">
        <is>
          <t>Not started</t>
        </is>
      </c>
      <c r="K37" s="245" t="inlineStr"/>
    </row>
  </sheetData>
  <dataValidations count="1">
    <dataValidation sqref="J5:J37" showDropDown="0" showInputMessage="0" showErrorMessage="0" allowBlank="1" type="list">
      <formula1>"Not started,In progress,Done,Slipped,Blocked"</formula1>
    </dataValidation>
  </dataValidations>
  <pageMargins left="0.75" right="0.75" top="1" bottom="1" header="0.5" footer="0.5"/>
</worksheet>
</file>

<file path=xl/worksheets/sheet4.xml><?xml version="1.0" encoding="utf-8"?>
<worksheet xmlns="http://schemas.openxmlformats.org/spreadsheetml/2006/main">
  <sheetPr>
    <tabColor rgb="FF2B7A78"/>
    <outlinePr summaryBelow="1" summaryRight="1"/>
    <pageSetUpPr/>
  </sheetPr>
  <dimension ref="A2:J46"/>
  <sheetViews>
    <sheetView showGridLines="0" workbookViewId="0">
      <pane xSplit="3" ySplit="10" topLeftCell="D11" activePane="bottomRight" state="frozen"/>
      <selection activeCell="A1" sqref="A1"/>
    </sheetView>
  </sheetViews>
  <sheetFormatPr baseColWidth="8" defaultRowHeight="15"/>
  <cols>
    <col width="14" customWidth="1" min="1" max="1"/>
    <col width="12" customWidth="1" min="2" max="2"/>
    <col width="22" customWidth="1" min="3" max="3"/>
    <col width="82" customWidth="1" min="4" max="4"/>
    <col width="72" customWidth="1" min="5" max="5"/>
    <col width="21" customWidth="1" min="6" max="6"/>
    <col width="44" customWidth="1" min="7" max="7"/>
    <col width="12" customWidth="1" min="8" max="8"/>
    <col width="15" customWidth="1" min="9" max="9"/>
    <col width="34" customWidth="1" min="10" max="10"/>
  </cols>
  <sheetData>
    <row r="2">
      <c r="A2" s="1" t="inlineStr">
        <is>
          <t>YOW daily guide — 28 September to 2 November 2026</t>
        </is>
      </c>
    </row>
    <row r="3">
      <c r="A3" s="2" t="inlineStr">
        <is>
          <t>Morning: paste one prompt. Evening/weekend: do only your guided action. Never exceed the time cap.</t>
        </is>
      </c>
    </row>
    <row r="5">
      <c r="A5" s="41" t="inlineStr">
        <is>
          <t>Tasks</t>
        </is>
      </c>
      <c r="B5" s="42">
        <f>COUNTA(A11:A46)</f>
        <v/>
      </c>
      <c r="D5" s="36" t="inlineStr">
        <is>
          <t>The only rule that matters</t>
        </is>
      </c>
    </row>
    <row r="6">
      <c r="A6" s="43" t="inlineStr">
        <is>
          <t>Done</t>
        </is>
      </c>
      <c r="B6" s="44">
        <f>COUNTIF(I11:I46,"Done")</f>
        <v/>
      </c>
      <c r="D6" s="248" t="inlineStr">
        <is>
          <t>AI owns the technical work. You own guided verification and decisions. Stop at the time cap. A task may remain In progress; a hard gate may not be waved through.</t>
        </is>
      </c>
      <c r="E6" s="249" t="n"/>
      <c r="F6" s="249" t="n"/>
      <c r="G6" s="249" t="n"/>
      <c r="H6" s="249" t="n"/>
      <c r="I6" s="249" t="n"/>
      <c r="J6" s="250" t="n"/>
    </row>
    <row r="7">
      <c r="A7" s="43" t="inlineStr">
        <is>
          <t>Remaining</t>
        </is>
      </c>
      <c r="B7" s="44">
        <f>B5-B6</f>
        <v/>
      </c>
      <c r="D7" s="251" t="n"/>
      <c r="J7" s="252" t="n"/>
    </row>
    <row r="8">
      <c r="A8" s="43" t="inlineStr">
        <is>
          <t>Blocked</t>
        </is>
      </c>
      <c r="B8" s="44">
        <f>COUNTIF(I11:I46,"Blocked")</f>
        <v/>
      </c>
      <c r="D8" s="251" t="n"/>
      <c r="J8" s="252" t="n"/>
    </row>
    <row r="9">
      <c r="A9" s="45" t="inlineStr">
        <is>
          <t>Progress</t>
        </is>
      </c>
      <c r="B9" s="253">
        <f>IFERROR(B6/B5,0)</f>
        <v/>
      </c>
      <c r="D9" s="254" t="n"/>
      <c r="E9" s="255" t="n"/>
      <c r="F9" s="255" t="n"/>
      <c r="G9" s="255" t="n"/>
      <c r="H9" s="255" t="n"/>
      <c r="I9" s="255" t="n"/>
      <c r="J9" s="256" t="n"/>
    </row>
    <row r="10" ht="36" customHeight="1">
      <c r="A10" s="94" t="inlineStr">
        <is>
          <t>Date</t>
        </is>
      </c>
      <c r="B10" s="94" t="inlineStr">
        <is>
          <t>Day</t>
        </is>
      </c>
      <c r="C10" s="94" t="inlineStr">
        <is>
          <t>Phase</t>
        </is>
      </c>
      <c r="D10" s="94" t="inlineStr">
        <is>
          <t>Morning: copy this entire prompt into Codex</t>
        </is>
      </c>
      <c r="E10" s="94" t="inlineStr">
        <is>
          <t>Evening / weekend: exactly what you do</t>
        </is>
      </c>
      <c r="F10" s="94" t="inlineStr">
        <is>
          <t>Time cap</t>
        </is>
      </c>
      <c r="G10" s="94" t="inlineStr">
        <is>
          <t>Done means</t>
        </is>
      </c>
      <c r="H10" s="94" t="inlineStr">
        <is>
          <t>Hard gate?</t>
        </is>
      </c>
      <c r="I10" s="94" t="inlineStr">
        <is>
          <t>Status</t>
        </is>
      </c>
      <c r="J10" s="94" t="inlineStr">
        <is>
          <t>Notes / evidence</t>
        </is>
      </c>
    </row>
    <row r="11" ht="168" customHeight="1">
      <c r="A11" s="257" t="n">
        <v>46293.5</v>
      </c>
      <c r="B11" s="96" t="inlineStr">
        <is>
          <t>Weekday</t>
        </is>
      </c>
      <c r="C11" s="97" t="inlineStr">
        <is>
          <t>Release &amp; data safety</t>
        </is>
      </c>
      <c r="D11" s="98" t="inlineStr">
        <is>
          <t>Today is 2026-09-28. Work on YOW in /Users/bishop/Desktop/Claude/yow. Read AGENTS.md and docs/ROADMAP.md first. I am a complete beginner, so own all code changes, terminal work, automated tests, documentation, evidence collection, and safe troubleshooting yourself.
MORNING TECHNICAL ASSIGNMENT
Repair the red release baseline: reconcile the Vercel route test, review the dirty checkout, run full QA, and produce a plain-English blocker report.
EVENING OWNER ACTION TO PREPARE
Review the report, approve the frozen launch scope, and make only required product decisions.
TIME LIMIT
10 min morning + 75 min evening.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t>
        </is>
      </c>
      <c r="E11" s="98" t="inlineStr">
        <is>
          <t>1. Morning (10 minutes): open Codex and paste the entire AI prompt from the previous column. Then leave the technical work with AI.
2. Evening: open Codex's result and follow its owner instructions one step at a time.
3. Your action: Review the report, approve the frozen launch scope, and make only required product decisions.
4. Safety: Use designated test accounts and disposable projects. Never test deletion or permissions on the owner/admin account.
5. Stop when 10 min morning + 75 min evening is used. Mark In progress or Blocked with the last successful step; never borrow time from tomorrow.
6. Mark Done only when the expected result and evidence are both present.</t>
        </is>
      </c>
      <c r="F11" s="98" t="inlineStr">
        <is>
          <t>10 min morning + 75 min evening</t>
        </is>
      </c>
      <c r="G11" s="98" t="inlineStr">
        <is>
          <t>The named test passes with saved evidence and no unresolved auth, data-loss, isolation, save, restore, or export blocker.</t>
        </is>
      </c>
      <c r="H11" s="99" t="inlineStr">
        <is>
          <t>Yes</t>
        </is>
      </c>
      <c r="I11" s="99" t="inlineStr">
        <is>
          <t>Done</t>
        </is>
      </c>
      <c r="J11" s="98" t="inlineStr">
        <is>
          <t>Done 2026-09-28. Vercel routing test passed 2/2, including route-specific SEO HTML for Features, Pricing, FAQ, Founders, and the founder profile before the SPA catch-all. Full npm run qa passed: 131/131 test files, 1,203/1,203 tests, zero lint errors, production build, 214-file load check, all 48 Playwright specs represented in CI, and all 12 API routes imported cleanly. Generated SEO pages had distinct titles and canonical www URLs. Dirty checkout reviewed; unrelated changes preserved. Evidence saved in docs/ROADMAP.md and docs/QA_PLAN.md. No commit, deployment, billing, email, or public action was performed. Wider launch-gate verification remains tracked separately and does not change this task from Done.</t>
        </is>
      </c>
    </row>
    <row r="12" ht="168" customHeight="1">
      <c r="A12" s="257" t="n">
        <v>46294.5</v>
      </c>
      <c r="B12" s="96" t="inlineStr">
        <is>
          <t>Weekday</t>
        </is>
      </c>
      <c r="C12" s="97" t="inlineStr">
        <is>
          <t>Release &amp; data safety</t>
        </is>
      </c>
      <c r="D12" s="98" t="inlineStr">
        <is>
          <t>Today is 2026-09-29. Work on YOW in /Users/bishop/Desktop/Claude/yow. Read AGENTS.md and docs/ROADMAP.md first. I am a complete beginner, so own all code changes, terminal work, automated tests, documentation, evidence collection, and safe troubleshooting yourself.
MORNING TECHNICAL ASSIGNMENT
Finish baseline fixes, rerun all release checks, classify remaining warnings by launch risk, and prepare a safe smoke-test script.
EVENING OWNER ACTION TO PREPARE
Run sign-in → open/create project → write → refresh → export; report exactly what appears.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t>
        </is>
      </c>
      <c r="E12" s="98" t="inlineStr">
        <is>
          <t>1. Morning (10 minutes): open Codex and paste the entire AI prompt from the previous column. Then leave the technical work with AI.
2. Evening: open Codex's result and follow its owner instructions one step at a time.
3. Your action: Run sign-in → open/create project → write → refresh → export; report exactly what appears.
4. Safety: Use designated test accounts and disposable projects. Never test deletion or permissions on the owner/admin account.
5. Stop when 10 min + 90 min is used. Mark In progress or Blocked with the last successful step; never borrow time from tomorrow.
6. Mark Done only when the expected result and evidence are both present.</t>
        </is>
      </c>
      <c r="F12" s="98" t="inlineStr">
        <is>
          <t>10 min + 90 min</t>
        </is>
      </c>
      <c r="G12" s="98" t="inlineStr">
        <is>
          <t>The named test passes with saved evidence and no unresolved auth, data-loss, isolation, save, restore, or export blocker.</t>
        </is>
      </c>
      <c r="H12" s="99" t="inlineStr">
        <is>
          <t>Yes</t>
        </is>
      </c>
      <c r="I12" s="99" t="inlineStr">
        <is>
          <t>Done</t>
        </is>
      </c>
      <c r="J12" s="98" t="inlineStr">
        <is>
          <t>Done 2026-09-29. Focused Vercel route regression passed 2/2. Full npm run qa passed: 131/131 test files, 1,203/1,203 tests, zero lint errors, production build, 214-file load check, all 48 Playwright specs represented in CI, and all 12 API routes imported cleanly. Warnings classified: 8 verification-relevant, 68 performance/React-compiler, 27 development cleanup; 3 existing build performance notices. Live Safari smoke passed on test2@yourownworld.co.uk: project library and DELETE SAFE overview loaded; Opening Scene marker saved, survived refresh once, and appeared once in the new manual backup. New ZIP passed all 18 integrity checks. SHA-256 857d5a60fe7271cec42c1be9059f05247832e9e8b1adbe77f0fbad1f98e92519. Browser clock reports 27 September, explaining the date-based filename. No deployment, billing, email, public action, import, restore, merge, or delete was performed.</t>
        </is>
      </c>
    </row>
    <row r="13" ht="168" customHeight="1">
      <c r="A13" s="257" t="n">
        <v>46295.5</v>
      </c>
      <c r="B13" s="96" t="inlineStr">
        <is>
          <t>Weekday</t>
        </is>
      </c>
      <c r="C13" s="97" t="inlineStr">
        <is>
          <t>Release &amp; data safety</t>
        </is>
      </c>
      <c r="D13" s="98" t="inlineStr">
        <is>
          <t>Today is 2026-09-30. Work on YOW in /Users/bishop/Desktop/Claude/yow. Read AGENTS.md and docs/ROADMAP.md first. I am a complete beginner, so own all code changes, terminal work, automated tests, documentation, evidence collection, and safe troubleshooting yourself.
MORNING TECHNICAL ASSIGNMENT
Audit the pending Supabase migrations, production prerequisites, rollback steps, and Security Advisor checks; prepare one-step owner instructions.
EVENING OWNER ACTION TO PREPARE
Open Supabase with Codex guidance, apply only the verified migrations, and record the results.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t>
        </is>
      </c>
      <c r="E13" s="98" t="inlineStr">
        <is>
          <t>1. Morning (10 minutes): open Codex and paste the entire AI prompt from the previous column. Then leave the technical work with AI.
2. Evening: open Codex's result and follow its owner instructions one step at a time.
3. Your action: Open Supabase with Codex guidance, apply only the verified migrations, and record the results.
4. Safety: Use designated test accounts and disposable projects. Never test deletion or permissions on the owner/admin account.
5. Stop when 10 min + 90 min is used. Mark In progress or Blocked with the last successful step; never borrow time from tomorrow.
6. Mark Done only when the expected result and evidence are both present.</t>
        </is>
      </c>
      <c r="F13" s="98" t="inlineStr">
        <is>
          <t>10 min + 90 min</t>
        </is>
      </c>
      <c r="G13" s="98" t="inlineStr">
        <is>
          <t>The named test passes with saved evidence and no unresolved auth, data-loss, isolation, save, restore, or export blocker.</t>
        </is>
      </c>
      <c r="H13" s="99" t="inlineStr">
        <is>
          <t>Yes</t>
        </is>
      </c>
      <c r="I13" s="99" t="inlineStr">
        <is>
          <t>Done</t>
        </is>
      </c>
      <c r="J13" s="98" t="inlineStr">
        <is>
          <t>Done 2026-09-30. Production history showed 20260912193000 and 20260914223000 already applied; neither was rerun. Added and applied only 20260930211500 after an exact dry run. Local and remote history align; the repeat dry run is up to date; linked lint is clean; focused tests passed 20/20; Advisor 0028/0029 are absent. The current plan has no scheduled backups; this correction changed future function grants only and no customer rows. Existing Advisor items recorded: leaked-password protection, duplicate owner-only scenes policies, and a disk-I/O notice. No customer data, billing, Auth users, restore, email, SQL Editor, or public action was touched. Evidence: docs/QA_PLAN.md and docs/ROADMAP.md.</t>
        </is>
      </c>
    </row>
    <row r="14" ht="168" customHeight="1">
      <c r="A14" s="257" t="n">
        <v>46296.5</v>
      </c>
      <c r="B14" s="96" t="inlineStr">
        <is>
          <t>Weekday</t>
        </is>
      </c>
      <c r="C14" s="97" t="inlineStr">
        <is>
          <t>Release &amp; data safety</t>
        </is>
      </c>
      <c r="D14" s="98" t="inlineStr">
        <is>
          <t>Today is 2026-10-01. Work on YOW in /Users/bishop/Desktop/Claude/yow. Read AGENTS.md and docs/ROADMAP.md first. I am a complete beginner, so own all code changes, terminal work, automated tests, documentation, evidence collection, and safe troubleshooting yourself.
MORNING TECHNICAL ASSIGNMENT
Prepare and monitor the real two-tab scene-concurrency acceptance test; fix any reproducible failure and rerun automated coverage.
EVENING OWNER ACTION TO PREPARE
Perform the guided same-scene two-tab test and review or discard the conflict copy.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t>
        </is>
      </c>
      <c r="E14" s="98" t="inlineStr">
        <is>
          <t>1. Morning (10 minutes): open Codex and paste the entire AI prompt from the previous column. Then leave the technical work with AI.
2. Evening: open Codex's result and follow its owner instructions one step at a time.
3. Your action: Perform the guided same-scene two-tab test and review or discard the conflict copy.
4. Safety: Use designated test accounts and disposable projects. Never test deletion or permissions on the owner/admin account.
5. Stop when 10 min + 90 min is used. Mark In progress or Blocked with the last successful step; never borrow time from tomorrow.
6. Mark Done only when the expected result and evidence are both present.</t>
        </is>
      </c>
      <c r="F14" s="98" t="inlineStr">
        <is>
          <t>10 min + 90 min</t>
        </is>
      </c>
      <c r="G14" s="98" t="inlineStr">
        <is>
          <t>The named test passes with saved evidence and no unresolved auth, data-loss, isolation, save, restore, or export blocker.</t>
        </is>
      </c>
      <c r="H14" s="99" t="inlineStr">
        <is>
          <t>Yes</t>
        </is>
      </c>
      <c r="I14" s="99" t="inlineStr">
        <is>
          <t>Done</t>
        </is>
      </c>
      <c r="J14" s="98" t="inlineStr">
        <is>
          <t>Done 2026-10-01. Regular Safari two-tab warning and release passed before typing. Conflict-copy retention, review, discard, and reload persistence passed; no prose loss or copies remained. Private Safari lacked the proactive pre-typing warning, but conflicts still retained both versions (browser-mode limitation, not a data-loss blocker). Deployed PRs #225–#227, commit 3ef7d49. Clean QA: 132/132 files, 1,247/1,247 tests; Playwright 8/8; public HTTP 200. ROADMAP and QA plan updated.</t>
        </is>
      </c>
    </row>
    <row r="15" ht="168" customHeight="1">
      <c r="A15" s="257" t="n">
        <v>46297.5</v>
      </c>
      <c r="B15" s="96" t="inlineStr">
        <is>
          <t>Weekday</t>
        </is>
      </c>
      <c r="C15" s="97" t="inlineStr">
        <is>
          <t>Release &amp; data safety</t>
        </is>
      </c>
      <c r="D15" s="98" t="inlineStr">
        <is>
          <t>Today is 2026-10-02. Work on YOW in /Users/bishop/Desktop/Claude/yow. Read AGENTS.md and docs/ROADMAP.md first. I am a complete beginner, so own all code changes, terminal work, automated tests, documentation, evidence collection, and safe troubleshooting yourself.
MORNING TECHNICAL ASSIGNMENT
Prepare the two-account/account-switch entitlement-isolation test and inspect all server-side entitlement paths.
EVENING OWNER ACTION TO PREPARE
Run the guided two-account test using designated test accounts only.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t>
        </is>
      </c>
      <c r="E15" s="98" t="inlineStr">
        <is>
          <t>1. Morning (10 minutes): open Codex and paste the entire AI prompt from the previous column. Then leave the technical work with AI.
2. Evening: open Codex's result and follow its owner instructions one step at a time.
3. Your action: Run the guided two-account test using designated test accounts only.
4. Safety: Use designated test accounts and disposable projects. Never test deletion or permissions on the owner/admin account.
5. Stop when 10 min + 90 min is used. Mark In progress or Blocked with the last successful step; never borrow time from tomorrow.
6. Mark Done only when the expected result and evidence are both present.</t>
        </is>
      </c>
      <c r="F15" s="98" t="inlineStr">
        <is>
          <t>10 min + 90 min</t>
        </is>
      </c>
      <c r="G15" s="98" t="inlineStr">
        <is>
          <t>The named test passes with saved evidence and no unresolved auth, data-loss, isolation, save, restore, or export blocker.</t>
        </is>
      </c>
      <c r="H15" s="99" t="inlineStr">
        <is>
          <t>Yes</t>
        </is>
      </c>
      <c r="I15" s="99" t="inlineStr">
        <is>
          <t>Done</t>
        </is>
      </c>
      <c r="J15" s="98" t="inlineStr">
        <is>
          <t>Done 2026-10-02. Guided regular-Safari test2 Beta → test1 Free → test2 Beta passed: correct identities, isolated project libraries, Free/Beta entitlement switching and restoration, and no AI-key carry-over. Fixed account-switch cleanup to purge all orphaned or not-yet-hydrated scene prose and tracked-change keys. Release candidate passed 132/132 files and 1,248/1,248 tests; focused browser isolation passed 3/3. PR #228 passed all 53 CI jobs, merged as 8a5ba3bd, and deployed successfully to Vercel production. The public bundle index-Bh4QrQgI.js contains both key-prefix sweeps. No project, plan, billing, key, import, restore, deletion, download, email, secret, or public content changed during the guided test.</t>
        </is>
      </c>
    </row>
    <row r="16" ht="320" customHeight="1">
      <c r="A16" s="257" t="n">
        <v>46298.5</v>
      </c>
      <c r="B16" s="100" t="inlineStr">
        <is>
          <t>Weekend</t>
        </is>
      </c>
      <c r="C16" s="97" t="inlineStr">
        <is>
          <t>Release &amp; data safety</t>
        </is>
      </c>
      <c r="D16" s="98" t="inlineStr">
        <is>
          <t>Today is 2026-10-03. Work on YOW in /Users/bishop/Desktop/Claude/yow. Read AGENTS.md and docs/ROADMAP.md first. I am a complete beginner, so own all code changes, terminal work, automated tests, documentation, evidence collection, and safe troubleshooting yourself.
MORNING TECHNICAL ASSIGNMENT
Drive the destructive-action, rollback, media, and quota test suite; prepare disposable fixtures and one-step instructions.
EVENING OWNER ACTION TO PREPARE
Test project deletion/restore, account deletion fixture, media replace/delete, and quota accounting in two blocks.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t>
        </is>
      </c>
      <c r="E16" s="98" t="inlineStr">
        <is>
          <t>1. Morning (15 minutes): open Codex and paste the entire AI prompt from the previous column. Then leave the technical work with AI.
2. Block 1: do the first half of the guided test, then take a real break. Block 2: continue from the last safe step and review the evidence.
3. Your action: Test project deletion/restore, account deletion fixture, media replace/delete, and quota accounting in two blocks.
4. Safety: Use designated test accounts and disposable projects. Never test deletion or permissions on the owner/admin account.
5. Stop when 15 min + up to 3 h 45 min is used. Mark In progress or Blocked with the last successful step; never borrow time from tomorrow.
6. Mark Done only when the expected result and evidence are both present.</t>
        </is>
      </c>
      <c r="F16" s="98" t="inlineStr">
        <is>
          <t>15 min + up to 3 h 45 min</t>
        </is>
      </c>
      <c r="G16" s="98" t="inlineStr">
        <is>
          <t>The named test passes with saved evidence and no unresolved auth, data-loss, isolation, save, restore, or export blocker.</t>
        </is>
      </c>
      <c r="H16" s="99" t="inlineStr">
        <is>
          <t>Yes</t>
        </is>
      </c>
      <c r="I16" s="99" t="inlineStr">
        <is>
          <t>Done</t>
        </is>
      </c>
      <c r="J16" s="98" t="inlineStr">
        <is>
          <t>Done 2026-10-03. Project delete/restore passed: exact text f, conflict-copy exclusion, and reload persistence. Media quota passed: 2.5 KB baseline → 418.5 KB upload → 280.3 KB replacement → 3.1 KB after removal and reload. All-project export produced 2 restorable project ZIPs and 11 valid DOCX files. Account deletion reached ‘You’ve been signed out’; production readback found zero auth, session, public-table, and storage rows for the deleted fixture and zero normalized rows for the known project IDs, while test1 remained intact with 1 account and 1 project. Fixes merged and deployed in PRs #230–#233; production bundle assets/index-BQ6KWlfS.js. Full QA passed 132/132 files and 1,255/1,255 tests. PR checks: 55 successful, 1 intentional skip; 50/50 smoke shards green after one unrelated typing-timing retry. Evidence is in docs/ROADMAP.md and docs/QA_PLAN.md. No unresolved auth, data-loss, isolation, save, restore, export, media, or quota blocker.</t>
        </is>
      </c>
    </row>
    <row r="17" ht="168" customHeight="1">
      <c r="A17" s="257" t="n">
        <v>46299.5</v>
      </c>
      <c r="B17" s="100" t="inlineStr">
        <is>
          <t>Weekend</t>
        </is>
      </c>
      <c r="C17" s="97" t="inlineStr">
        <is>
          <t>Release &amp; data safety</t>
        </is>
      </c>
      <c r="D17" s="98" t="inlineStr">
        <is>
          <t>Today is 2026-10-04. Work on YOW in /Users/bishop/Desktop/Claude/yow. Read AGENTS.md and docs/ROADMAP.md first. I am a complete beginner, so own all code changes, terminal work, automated tests, documentation, evidence collection, and safe troubleshooting yourself.
MORNING TECHNICAL ASSIGNMENT
Run export/import collision and full-account ownership checks; repair failures and assemble Data Safety Gate evidence.
EVENING OWNER ACTION TO PREPARE
Export, inspect, restore/import, and complete the Data Safety go/no-go review.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t>
        </is>
      </c>
      <c r="E17" s="98" t="inlineStr">
        <is>
          <t>1. Morning (15 minutes): open Codex and paste the entire AI prompt from the previous column. Then leave the technical work with AI.
2. Block 1: do the first half of the guided test, then take a real break. Block 2: continue from the last safe step and review the evidence.
3. Your action: Export, inspect, restore/import, and complete the Data Safety go/no-go review.
4. Safety: Use designated test accounts and disposable projects. Never test deletion or permissions on the owner/admin account.
5. Stop when 15 min + up to 3 h 45 min is used. Mark In progress or Blocked with the last successful step; never borrow time from tomorrow.
6. Mark Done only when the expected result and evidence are both present.</t>
        </is>
      </c>
      <c r="F17" s="98" t="inlineStr">
        <is>
          <t>15 min + up to 3 h 45 min</t>
        </is>
      </c>
      <c r="G17" s="98" t="inlineStr">
        <is>
          <t>The named test passes with saved evidence and no unresolved auth, data-loss, isolation, save, restore, or export blocker.</t>
        </is>
      </c>
      <c r="H17" s="99" t="inlineStr">
        <is>
          <t>Yes</t>
        </is>
      </c>
      <c r="I17" s="99" t="inlineStr">
        <is>
          <t>Done</t>
        </is>
      </c>
      <c r="J17" s="98" t="inlineStr">
        <is>
          <t>Done 2026-10-04. Named export/import collision and full-account ownership assignment passed. Focused export/import coverage passed 221/221; Chromium ownership flows passed 9/9; full repository gate passed 133/133 files and 1,256/1,256 tests, zero lint errors, production build, 215-file load check, all 50 Playwright specs in CI, and 12/12 API imports. The double-import regression kept the source present, imported the same rich export twice, and proved fresh project/entity IDs, recursive non-identity fidelity, and remapped cross-references. Independent inspection of the real production account bundle found two collision-safe folders, two distinct valid 18-entry restorable ZIPs, 11 valid DOCX packages, unique project/entity IDs, and no cross-project ownership mismatch. Carried forward 3 October production restore, text-f marker, reload, same-title account-export, and archive evidence instead of repeating owner work. Owner stopped the redundant local walkthrough before selecting a file; no import or data change occurred. Today's named assignment: Go. Overall Data Safety and Export Ownership launch gates: No-Go pending the separately scheduled cloud-expiry/inactive-account, complete format/privacy, desktop/local-mode, and final-matrix checks. No further owner action today.</t>
        </is>
      </c>
    </row>
    <row r="18" ht="168" customHeight="1">
      <c r="A18" s="257" t="n">
        <v>46300.5</v>
      </c>
      <c r="B18" s="96" t="inlineStr">
        <is>
          <t>Weekday</t>
        </is>
      </c>
      <c r="C18" s="101" t="inlineStr">
        <is>
          <t>Cloud &amp; security</t>
        </is>
      </c>
      <c r="D18" s="98" t="inlineStr">
        <is>
          <t>Today is 2026-10-05. Work on YOW in /Users/bishop/Desktop/Claude/yow. Read AGENTS.md and docs/ROADMAP.md first. I am a complete beginner, so own all code changes, terminal work, automated tests, documentation, evidence collection, and safe troubleshooting yourself.
MORNING TECHNICAL ASSIGNMENT
Audit and live-check AI proxy, email endpoints, CORS, durable rate limits, token rejection, and deployed security headers.
EVENING OWNER ACTION TO PREPARE
Follow the safe browser/dashboard checks and record only pass/fail evidence.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t>
        </is>
      </c>
      <c r="E18" s="98" t="inlineStr">
        <is>
          <t>1. Morning (10 minutes): open Codex and paste the entire AI prompt from the previous column. Then leave the technical work with AI.
2. Evening: open Codex's result and follow its owner instructions one step at a time.
3. Your action: Follow the safe browser/dashboard checks and record only pass/fail evidence.
4. Safety: Back up first. Never paste credentials, API keys, recovery codes, or secret values into chat.
5. Stop when 10 min + 90 min is used. Mark In progress or Blocked with the last successful step; never borrow time from tomorrow.
6. Mark Done only when the expected result and evidence are both present.</t>
        </is>
      </c>
      <c r="F18" s="98" t="inlineStr">
        <is>
          <t>10 min + 90 min</t>
        </is>
      </c>
      <c r="G18" s="98" t="inlineStr">
        <is>
          <t>The named production or export check passes with saved evidence and no unresolved security, ownership, storage, or lifecycle blocker.</t>
        </is>
      </c>
      <c r="H18" s="99" t="inlineStr">
        <is>
          <t>Yes</t>
        </is>
      </c>
      <c r="I18" s="99" t="inlineStr">
        <is>
          <t>Done</t>
        </is>
      </c>
      <c r="J18" s="98" t="inlineStr">
        <is>
          <t>Done 2026-10-05. QA passed: 136/136 files, 1,244/1,244 tests, zero lint errors; security 74/74. Live checks passed for headers, AI token rejection, durable AI logging, and both form rate limits; no secrets appeared in logs. With owner approval, deployed email CORS fixes: reset v66, welcome v88, re-engagement v7. YOW origin allowed; attacker origin denied; auth/error behavior preserved; deployed source matched review. No email, AI completion, billing, customer-data, or public-content action. Broader gates remain separate.</t>
        </is>
      </c>
    </row>
    <row r="19" ht="168" customHeight="1">
      <c r="A19" s="257" t="n">
        <v>46301.5</v>
      </c>
      <c r="B19" s="96" t="inlineStr">
        <is>
          <t>Weekday</t>
        </is>
      </c>
      <c r="C19" s="101" t="inlineStr">
        <is>
          <t>Cloud &amp; security</t>
        </is>
      </c>
      <c r="D19" s="98" t="inlineStr">
        <is>
          <t>Today is 2026-10-06. Work on YOW in /Users/bishop/Desktop/Claude/yow. Read AGENTS.md and docs/ROADMAP.md first. I am a complete beginner, so own all code changes, terminal work, automated tests, documentation, evidence collection, and safe troubleshooting yourself.
MORNING TECHNICAL ASSIGNMENT
Complete private-media RLS and storage-accounting verification, including replacement and deletion cleanup.
EVENING OWNER ACTION TO PREPARE
Upload, replace, delete, and verify one disposable image and its storage figure.
TIME LIMIT
10 min + 75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t>
        </is>
      </c>
      <c r="E19" s="98" t="inlineStr">
        <is>
          <t>1. Morning (10 minutes): open Codex and paste the entire AI prompt from the previous column. Then leave the technical work with AI.
2. Evening: open Codex's result and follow its owner instructions one step at a time.
3. Your action: Upload, replace, delete, and verify one disposable image and its storage figure.
4. Safety: Back up first. Never paste credentials, API keys, recovery codes, or secret values into chat.
5. Stop when 10 min + 75 min is used. Mark In progress or Blocked with the last successful step; never borrow time from tomorrow.
6. Mark Done only when the expected result and evidence are both present.</t>
        </is>
      </c>
      <c r="F19" s="98" t="inlineStr">
        <is>
          <t>10 min + 75 min</t>
        </is>
      </c>
      <c r="G19" s="98" t="inlineStr">
        <is>
          <t>The named production or export check passes with saved evidence and no unresolved security, ownership, storage, or lifecycle blocker.</t>
        </is>
      </c>
      <c r="H19" s="99" t="inlineStr">
        <is>
          <t>Yes</t>
        </is>
      </c>
      <c r="I19" s="99" t="inlineStr">
        <is>
          <t>Not started</t>
        </is>
      </c>
      <c r="J19" s="98" t="str"/>
    </row>
    <row r="20" ht="168" customHeight="1">
      <c r="A20" s="257" t="n">
        <v>46302.5</v>
      </c>
      <c r="B20" s="96" t="inlineStr">
        <is>
          <t>Weekday</t>
        </is>
      </c>
      <c r="C20" s="101" t="inlineStr">
        <is>
          <t>Cloud &amp; security</t>
        </is>
      </c>
      <c r="D20" s="98" t="inlineStr">
        <is>
          <t>Today is 2026-10-07. Work on YOW in /Users/bishop/Desktop/Claude/yow. Read AGENTS.md and docs/ROADMAP.md first. I am a complete beginner, so own all code changes, terminal work, automated tests, documentation, evidence collection, and safe troubleshooting yourself.
MORNING TECHNICAL ASSIGNMENT
Finish the cloud-expiry/inactive-account lifecycle implementation and tests: notices, Export All, grace, archive/delete, and cloud-write shutdown.
EVENING OWNER ACTION TO PREPARE
Review the customer-visible sequence and approve the exact wording.
TIME LIMIT
10 min + 75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t>
        </is>
      </c>
      <c r="E20" s="98" t="inlineStr">
        <is>
          <t>1. Morning (10 minutes): open Codex and paste the entire AI prompt from the previous column. Then leave the technical work with AI.
2. Evening: open Codex's result and follow its owner instructions one step at a time.
3. Your action: Review the customer-visible sequence and approve the exact wording.
4. Safety: Back up first. Never paste credentials, API keys, recovery codes, or secret values into chat.
5. Stop when 10 min + 75 min is used. Mark In progress or Blocked with the last successful step; never borrow time from tomorrow.
6. Mark Done only when the expected result and evidence are both present.</t>
        </is>
      </c>
      <c r="F20" s="98" t="inlineStr">
        <is>
          <t>10 min + 75 min</t>
        </is>
      </c>
      <c r="G20" s="98" t="inlineStr">
        <is>
          <t>The named production or export check passes with saved evidence and no unresolved security, ownership, storage, or lifecycle blocker.</t>
        </is>
      </c>
      <c r="H20" s="99" t="inlineStr">
        <is>
          <t>Yes</t>
        </is>
      </c>
      <c r="I20" s="99" t="inlineStr">
        <is>
          <t>Moved</t>
        </is>
      </c>
      <c r="J20" s="98" t="inlineStr">
        <is>
          <t>Rescheduled: see the 'Plan from 1 Oct' sheet (roadmap Sprint alignment is the canonical schedule).</t>
        </is>
      </c>
    </row>
    <row r="21" ht="168" customHeight="1">
      <c r="A21" s="257" t="n">
        <v>46303.5</v>
      </c>
      <c r="B21" s="96" t="inlineStr">
        <is>
          <t>Weekday</t>
        </is>
      </c>
      <c r="C21" s="101" t="inlineStr">
        <is>
          <t>Cloud &amp; security</t>
        </is>
      </c>
      <c r="D21" s="98" t="inlineStr">
        <is>
          <t>Today is 2026-10-08. Work on YOW in /Users/bishop/Desktop/Claude/yow. Read AGENTS.md and docs/ROADMAP.md first. I am a complete beginner, so own all code changes, terminal work, automated tests, documentation, evidence collection, and safe troubleshooting yourself.
MORNING TECHNICAL ASSIGNMENT
Run complete ZIP/DOCX/PDF/World Bible ownership and privacy checks, including expiry access and readable output inspection.
EVENING OWNER ACTION TO PREPARE
Open the generated files and confirm the expected content is present and private data is absent where promised.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t>
        </is>
      </c>
      <c r="E21" s="98" t="inlineStr">
        <is>
          <t>1. Morning (10 minutes): open Codex and paste the entire AI prompt from the previous column. Then leave the technical work with AI.
2. Evening: open Codex's result and follow its owner instructions one step at a time.
3. Your action: Open the generated files and confirm the expected content is present and private data is absent where promised.
4. Safety: Back up first. Never paste credentials, API keys, recovery codes, or secret values into chat.
5. Stop when 10 min + 90 min is used. Mark In progress or Blocked with the last successful step; never borrow time from tomorrow.
6. Mark Done only when the expected result and evidence are both present.</t>
        </is>
      </c>
      <c r="F21" s="98" t="inlineStr">
        <is>
          <t>10 min + 90 min</t>
        </is>
      </c>
      <c r="G21" s="98" t="inlineStr">
        <is>
          <t>The named production or export check passes with saved evidence and no unresolved security, ownership, storage, or lifecycle blocker.</t>
        </is>
      </c>
      <c r="H21" s="99" t="inlineStr">
        <is>
          <t>Yes</t>
        </is>
      </c>
      <c r="I21" s="99" t="inlineStr">
        <is>
          <t>Moved</t>
        </is>
      </c>
      <c r="J21" s="98" t="inlineStr">
        <is>
          <t>Rescheduled: see the 'Plan from 1 Oct' sheet (roadmap Sprint alignment is the canonical schedule).</t>
        </is>
      </c>
    </row>
    <row r="22" ht="168" customHeight="1">
      <c r="A22" s="257" t="n">
        <v>46304.5</v>
      </c>
      <c r="B22" s="96" t="inlineStr">
        <is>
          <t>Weekday</t>
        </is>
      </c>
      <c r="C22" s="101" t="inlineStr">
        <is>
          <t>Cloud &amp; security</t>
        </is>
      </c>
      <c r="D22" s="98" t="inlineStr">
        <is>
          <t>Today is 2026-10-09. Work on YOW in /Users/bishop/Desktop/Claude/yow. Read AGENTS.md and docs/ROADMAP.md first. I am a complete beginner, so own all code changes, terminal work, automated tests, documentation, evidence collection, and safe troubleshooting yourself.
MORNING TECHNICAL ASSIGNMENT
Retrieve or document the missing production function definitions, close reproducible database-build gaps, and rerun database checks.
EVENING OWNER ACTION TO PREPARE
Provide guided production access only if needed; review the database continuity result.
TIME LIMIT
10 min + 60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t>
        </is>
      </c>
      <c r="E22" s="98" t="inlineStr">
        <is>
          <t>1. Morning (10 minutes): open Codex and paste the entire AI prompt from the previous column. Then leave the technical work with AI.
2. Evening: open Codex's result and follow its owner instructions one step at a time.
3. Your action: Provide guided production access only if needed; review the database continuity result.
4. Safety: Back up first. Never paste credentials, API keys, recovery codes, or secret values into chat.
5. Stop when 10 min + 60 min is used. Mark In progress or Blocked with the last successful step; never borrow time from tomorrow.
6. Mark Done only when the expected result and evidence are both present.</t>
        </is>
      </c>
      <c r="F22" s="98" t="inlineStr">
        <is>
          <t>10 min + 60 min</t>
        </is>
      </c>
      <c r="G22" s="98" t="inlineStr">
        <is>
          <t>The named production or export check passes with saved evidence and no unresolved security, ownership, storage, or lifecycle blocker.</t>
        </is>
      </c>
      <c r="H22" s="99" t="inlineStr">
        <is>
          <t>Yes</t>
        </is>
      </c>
      <c r="I22" s="99" t="inlineStr">
        <is>
          <t>Moved</t>
        </is>
      </c>
      <c r="J22" s="98" t="inlineStr">
        <is>
          <t>Rescheduled: see the 'Plan from 1 Oct' sheet (roadmap Sprint alignment is the canonical schedule).</t>
        </is>
      </c>
    </row>
    <row r="23" ht="168" customHeight="1">
      <c r="A23" s="257" t="n">
        <v>46305.5</v>
      </c>
      <c r="B23" s="100" t="inlineStr">
        <is>
          <t>Weekend</t>
        </is>
      </c>
      <c r="C23" s="101" t="inlineStr">
        <is>
          <t>Cloud &amp; security</t>
        </is>
      </c>
      <c r="D23" s="98" t="inlineStr">
        <is>
          <t>Today is 2026-10-10. Work on YOW in /Users/bishop/Desktop/Claude/yow. Read AGENTS.md and docs/ROADMAP.md first. I am a complete beginner, so own all code changes, terminal work, automated tests, documentation, evidence collection, and safe troubleshooting yourself.
MORNING TECHNICAL ASSIGNMENT
Run the entire data-safety/auth/export matrix and fix failures in priority order.
EVENING OWNER ACTION TO PREPARE
Perform the remaining real-account checks in two focused blocks; stop at four hours.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t>
        </is>
      </c>
      <c r="E23" s="98" t="inlineStr">
        <is>
          <t>1. Morning (15 minutes): open Codex and paste the entire AI prompt from the previous column. Then leave the technical work with AI.
2. Block 1: do the first half of the guided test, then take a real break. Block 2: continue from the last safe step and review the evidence.
3. Your action: Perform the remaining real-account checks in two focused blocks; stop at four hours.
4. Safety: Back up first. Never paste credentials, API keys, recovery codes, or secret values into chat.
5. Stop when 15 min + up to 3 h 45 min is used. Mark In progress or Blocked with the last successful step; never borrow time from tomorrow.
6. Mark Done only when the expected result and evidence are both present.</t>
        </is>
      </c>
      <c r="F23" s="98" t="inlineStr">
        <is>
          <t>15 min + up to 3 h 45 min</t>
        </is>
      </c>
      <c r="G23" s="98" t="inlineStr">
        <is>
          <t>The named production or export check passes with saved evidence and no unresolved security, ownership, storage, or lifecycle blocker.</t>
        </is>
      </c>
      <c r="H23" s="99" t="inlineStr">
        <is>
          <t>Yes</t>
        </is>
      </c>
      <c r="I23" s="99" t="inlineStr">
        <is>
          <t>Moved</t>
        </is>
      </c>
      <c r="J23" s="98" t="inlineStr">
        <is>
          <t>Rescheduled: see the 'Plan from 1 Oct' sheet (roadmap Sprint alignment is the canonical schedule).</t>
        </is>
      </c>
    </row>
    <row r="24" ht="168" customHeight="1">
      <c r="A24" s="257" t="n">
        <v>46306.5</v>
      </c>
      <c r="B24" s="100" t="inlineStr">
        <is>
          <t>Weekend</t>
        </is>
      </c>
      <c r="C24" s="101" t="inlineStr">
        <is>
          <t>Cloud &amp; security</t>
        </is>
      </c>
      <c r="D24" s="98" t="inlineStr">
        <is>
          <t>Today is 2026-10-11. Work on YOW in /Users/bishop/Desktop/Claude/yow. Read AGENTS.md and docs/ROADMAP.md first. I am a complete beginner, so own all code changes, terminal work, automated tests, documentation, evidence collection, and safe troubleshooting yourself.
MORNING TECHNICAL ASSIGNMENT
Use the day as the hard-gate repair buffer, rerun the whole matrix, and produce a signed-off evidence summary.
EVENING OWNER ACTION TO PREPARE
Review the summary. Mark the gate Done only if no data-loss/auth/export blocker remains.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t>
        </is>
      </c>
      <c r="E24" s="98" t="inlineStr">
        <is>
          <t>1. Morning (15 minutes): open Codex and paste the entire AI prompt from the previous column. Then leave the technical work with AI.
2. Block 1: do the first half of the guided test, then take a real break. Block 2: continue from the last safe step and review the evidence.
3. Your action: Review the summary. Mark the gate Done only if no data-loss/auth/export blocker remains.
4. Safety: Back up first. Never paste credentials, API keys, recovery codes, or secret values into chat.
5. Stop when 15 min + up to 3 h 45 min is used. Mark In progress or Blocked with the last successful step; never borrow time from tomorrow.
6. Mark Done only when the expected result and evidence are both present.</t>
        </is>
      </c>
      <c r="F24" s="98" t="inlineStr">
        <is>
          <t>15 min + up to 3 h 45 min</t>
        </is>
      </c>
      <c r="G24" s="98" t="inlineStr">
        <is>
          <t>The named production or export check passes with saved evidence and no unresolved security, ownership, storage, or lifecycle blocker.</t>
        </is>
      </c>
      <c r="H24" s="99" t="inlineStr">
        <is>
          <t>Yes</t>
        </is>
      </c>
      <c r="I24" s="99" t="inlineStr">
        <is>
          <t>Moved</t>
        </is>
      </c>
      <c r="J24" s="98" t="inlineStr">
        <is>
          <t>Rescheduled: see the 'Plan from 1 Oct' sheet (roadmap Sprint alignment is the canonical schedule).</t>
        </is>
      </c>
    </row>
    <row r="25" ht="168" customHeight="1">
      <c r="A25" s="257" t="n">
        <v>46307.5</v>
      </c>
      <c r="B25" s="96" t="inlineStr">
        <is>
          <t>Weekday</t>
        </is>
      </c>
      <c r="C25" s="100" t="inlineStr">
        <is>
          <t>Desktop</t>
        </is>
      </c>
      <c r="D25" s="98" t="inlineStr">
        <is>
          <t>Today is 2026-10-12. Work on YOW in /Users/bishop/Desktop/Claude/yow. Read AGENTS.md and docs/ROADMAP.md first. I am a complete beginner, so own all code changes, terminal work, automated tests, documentation, evidence collection, and safe troubleshooting yourself.
MORNING TECHNICAL ASSIGNMENT
Implement/finish the full signed-in Tauri project workspace and run desktop unit/Rust/build checks.
EVENING OWNER ACTION TO PREPARE
Open the Mac test build and verify login, library, project navigation, and writing.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t>
        </is>
      </c>
      <c r="E25" s="98" t="inlineStr">
        <is>
          <t>1. Morning (10 minutes): open Codex and paste the entire AI prompt from the previous column. Then leave the technical work with AI.
2. Evening: open Codex's result and follow its owner instructions one step at a time.
3. Your action: Open the Mac test build and verify login, library, project navigation, and writing.
4. Safety: Use a test build and isolated test vault, never the only copy of real writing.
5. Stop when 10 min + 100 min is used. Mark In progress or Blocked with the last successful step; never borrow time from tomorrow.
6. Mark Done only when the expected result and evidence are both present.</t>
        </is>
      </c>
      <c r="F25" s="98" t="inlineStr">
        <is>
          <t>10 min + 100 min</t>
        </is>
      </c>
      <c r="G25" s="98" t="inlineStr">
        <is>
          <t>The named packaged-app journey passes on the required real machine, and the evidence is saved.</t>
        </is>
      </c>
      <c r="H25" s="99" t="inlineStr">
        <is>
          <t>Yes</t>
        </is>
      </c>
      <c r="I25" s="99" t="inlineStr">
        <is>
          <t>Moved</t>
        </is>
      </c>
      <c r="J25" s="98" t="inlineStr">
        <is>
          <t>Rescheduled: see the 'Plan from 1 Oct' sheet (roadmap Sprint alignment is the canonical schedule).</t>
        </is>
      </c>
    </row>
    <row r="26" ht="168" customHeight="1">
      <c r="A26" s="257" t="n">
        <v>46308.5</v>
      </c>
      <c r="B26" s="96" t="inlineStr">
        <is>
          <t>Weekday</t>
        </is>
      </c>
      <c r="C26" s="100" t="inlineStr">
        <is>
          <t>Desktop</t>
        </is>
      </c>
      <c r="D26" s="98" t="inlineStr">
        <is>
          <t>Today is 2026-10-13. Work on YOW in /Users/bishop/Desktop/Claude/yow. Read AGENTS.md and docs/ROADMAP.md first. I am a complete beginner, so own all code changes, terminal work, automated tests, documentation, evidence collection, and safe troubleshooting yourself.
MORNING TECHNICAL ASSIGNMENT
Stress the desktop vault: write-behind durability, quit/force-quit, snapshot, restore, relocation, integrity, and disk-error handling.
EVENING OWNER ACTION TO PREPARE
Run the guided vault persistence and restore test with an isolated test vault.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t>
        </is>
      </c>
      <c r="E26" s="98" t="inlineStr">
        <is>
          <t>1. Morning (10 minutes): open Codex and paste the entire AI prompt from the previous column. Then leave the technical work with AI.
2. Evening: open Codex's result and follow its owner instructions one step at a time.
3. Your action: Run the guided vault persistence and restore test with an isolated test vault.
4. Safety: Use a test build and isolated test vault, never the only copy of real writing.
5. Stop when 10 min + 100 min is used. Mark In progress or Blocked with the last successful step; never borrow time from tomorrow.
6. Mark Done only when the expected result and evidence are both present.</t>
        </is>
      </c>
      <c r="F26" s="98" t="inlineStr">
        <is>
          <t>10 min + 100 min</t>
        </is>
      </c>
      <c r="G26" s="98" t="inlineStr">
        <is>
          <t>The named packaged-app journey passes on the required real machine, and the evidence is saved.</t>
        </is>
      </c>
      <c r="H26" s="99" t="inlineStr">
        <is>
          <t>Yes</t>
        </is>
      </c>
      <c r="I26" s="99" t="inlineStr">
        <is>
          <t>Moved</t>
        </is>
      </c>
      <c r="J26" s="98" t="inlineStr">
        <is>
          <t>Rescheduled: see the 'Plan from 1 Oct' sheet (roadmap Sprint alignment is the canonical schedule).</t>
        </is>
      </c>
    </row>
    <row r="27" ht="168" customHeight="1">
      <c r="A27" s="257" t="n">
        <v>46309.5</v>
      </c>
      <c r="B27" s="96" t="inlineStr">
        <is>
          <t>Weekday</t>
        </is>
      </c>
      <c r="C27" s="100" t="inlineStr">
        <is>
          <t>Desktop</t>
        </is>
      </c>
      <c r="D27" s="98" t="inlineStr">
        <is>
          <t>Today is 2026-10-14. Work on YOW in /Users/bishop/Desktop/Claude/yow. Read AGENTS.md and docs/ROADMAP.md first. I am a complete beginner, so own all code changes, terminal work, automated tests, documentation, evidence collection, and safe troubleshooting yourself.
MORNING TECHNICAL ASSIGNMENT
Verify and repair native ZIP/DOCX/PDF/PNG save dialogs and file contents in packaged desktop builds.
EVENING OWNER ACTION TO PREPARE
Save and open each format from the packaged Mac app.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t>
        </is>
      </c>
      <c r="E27" s="98" t="inlineStr">
        <is>
          <t>1. Morning (10 minutes): open Codex and paste the entire AI prompt from the previous column. Then leave the technical work with AI.
2. Evening: open Codex's result and follow its owner instructions one step at a time.
3. Your action: Save and open each format from the packaged Mac app.
4. Safety: Use a test build and isolated test vault, never the only copy of real writing.
5. Stop when 10 min + 90 min is used. Mark In progress or Blocked with the last successful step; never borrow time from tomorrow.
6. Mark Done only when the expected result and evidence are both present.</t>
        </is>
      </c>
      <c r="F27" s="98" t="inlineStr">
        <is>
          <t>10 min + 90 min</t>
        </is>
      </c>
      <c r="G27" s="98" t="inlineStr">
        <is>
          <t>The named packaged-app journey passes on the required real machine, and the evidence is saved.</t>
        </is>
      </c>
      <c r="H27" s="99" t="inlineStr">
        <is>
          <t>Yes</t>
        </is>
      </c>
      <c r="I27" s="99" t="inlineStr">
        <is>
          <t>Moved</t>
        </is>
      </c>
      <c r="J27" s="98" t="inlineStr">
        <is>
          <t>Rescheduled: see the 'Plan from 1 Oct' sheet (roadmap Sprint alignment is the canonical schedule).</t>
        </is>
      </c>
    </row>
    <row r="28" ht="168" customHeight="1">
      <c r="A28" s="257" t="n">
        <v>46310.5</v>
      </c>
      <c r="B28" s="96" t="inlineStr">
        <is>
          <t>Weekday</t>
        </is>
      </c>
      <c r="C28" s="100" t="inlineStr">
        <is>
          <t>Desktop</t>
        </is>
      </c>
      <c r="D28" s="98" t="inlineStr">
        <is>
          <t>Today is 2026-10-15. Work on YOW in /Users/bishop/Desktop/Claude/yow. Read AGENTS.md and docs/ROADMAP.md first. I am a complete beginner, so own all code changes, terminal work, automated tests, documentation, evidence collection, and safe troubleshooting yourself.
MORNING TECHNICAL ASSIGNMENT
Finish Local Mode/lapse/renewal merge logic, cold-start retry, conflict surfacing, and no-cloud-write verification.
EVENING OWNER ACTION TO PREPARE
Run the guided lapse → web edit → renewal → desktop merge scenario.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t>
        </is>
      </c>
      <c r="E28" s="98" t="inlineStr">
        <is>
          <t>1. Morning (10 minutes): open Codex and paste the entire AI prompt from the previous column. Then leave the technical work with AI.
2. Evening: open Codex's result and follow its owner instructions one step at a time.
3. Your action: Run the guided lapse → web edit → renewal → desktop merge scenario.
4. Safety: Use a test build and isolated test vault, never the only copy of real writing.
5. Stop when 10 min + 100 min is used. Mark In progress or Blocked with the last successful step; never borrow time from tomorrow.
6. Mark Done only when the expected result and evidence are both present.</t>
        </is>
      </c>
      <c r="F28" s="98" t="inlineStr">
        <is>
          <t>10 min + 100 min</t>
        </is>
      </c>
      <c r="G28" s="98" t="inlineStr">
        <is>
          <t>The named packaged-app journey passes on the required real machine, and the evidence is saved.</t>
        </is>
      </c>
      <c r="H28" s="99" t="inlineStr">
        <is>
          <t>Yes</t>
        </is>
      </c>
      <c r="I28" s="99" t="inlineStr">
        <is>
          <t>Moved</t>
        </is>
      </c>
      <c r="J28" s="98" t="inlineStr">
        <is>
          <t>Rescheduled: see the 'Plan from 1 Oct' sheet (roadmap Sprint alignment is the canonical schedule).</t>
        </is>
      </c>
    </row>
    <row r="29" ht="168" customHeight="1">
      <c r="A29" s="257" t="n">
        <v>46311.5</v>
      </c>
      <c r="B29" s="96" t="inlineStr">
        <is>
          <t>Weekday</t>
        </is>
      </c>
      <c r="C29" s="100" t="inlineStr">
        <is>
          <t>Desktop</t>
        </is>
      </c>
      <c r="D29" s="98" t="inlineStr">
        <is>
          <t>Today is 2026-10-16. Work on YOW in /Users/bishop/Desktop/Claude/yow. Read AGENTS.md and docs/ROADMAP.md first. I am a complete beginner, so own all code changes, terminal work, automated tests, documentation, evidence collection, and safe troubleshooting yourself.
MORNING TECHNICAL ASSIGNMENT
Finalise updater manifests, download entitlement gating, installer URLs, hashes, provenance, and unsigned-app instructions.
EVENING OWNER ACTION TO PREPARE
Review the download page and Mac instructions as a customer.
TIME LIMIT
10 min + 75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t>
        </is>
      </c>
      <c r="E29" s="98" t="inlineStr">
        <is>
          <t>1. Morning (10 minutes): open Codex and paste the entire AI prompt from the previous column. Then leave the technical work with AI.
2. Evening: open Codex's result and follow its owner instructions one step at a time.
3. Your action: Review the download page and Mac instructions as a customer.
4. Safety: Use a test build and isolated test vault, never the only copy of real writing.
5. Stop when 10 min + 75 min is used. Mark In progress or Blocked with the last successful step; never borrow time from tomorrow.
6. Mark Done only when the expected result and evidence are both present.</t>
        </is>
      </c>
      <c r="F29" s="98" t="inlineStr">
        <is>
          <t>10 min + 75 min</t>
        </is>
      </c>
      <c r="G29" s="98" t="inlineStr">
        <is>
          <t>The named packaged-app journey passes on the required real machine, and the evidence is saved.</t>
        </is>
      </c>
      <c r="H29" s="99" t="inlineStr">
        <is>
          <t>Yes</t>
        </is>
      </c>
      <c r="I29" s="99" t="inlineStr">
        <is>
          <t>Moved</t>
        </is>
      </c>
      <c r="J29" s="98" t="inlineStr">
        <is>
          <t>Rescheduled: see the 'Plan from 1 Oct' sheet (roadmap Sprint alignment is the canonical schedule).</t>
        </is>
      </c>
    </row>
    <row r="30" ht="168" customHeight="1">
      <c r="A30" s="257" t="n">
        <v>46312.5</v>
      </c>
      <c r="B30" s="100" t="inlineStr">
        <is>
          <t>Weekend</t>
        </is>
      </c>
      <c r="C30" s="100" t="inlineStr">
        <is>
          <t>Desktop</t>
        </is>
      </c>
      <c r="D30" s="98" t="inlineStr">
        <is>
          <t>Today is 2026-10-17. Work on YOW in /Users/bishop/Desktop/Claude/yow. Read AGENTS.md and docs/ROADMAP.md first. I am a complete beginner, so own all code changes, terminal work, automated tests, documentation, evidence collection, and safe troubleshooting yourself.
MORNING TECHNICAL ASSIGNMENT
Produce and inspect the final Mac candidate; drive clean-machine install, workspace, export, restore, updater, and uninstall acceptance.
EVENING OWNER ACTION TO PREPARE
Complete the clean/test Mac checklist in two blocks.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t>
        </is>
      </c>
      <c r="E30" s="98" t="inlineStr">
        <is>
          <t>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the clean/test Mac checklist in two blocks.
4. Safety: Use a test build and isolated test vault, never the only copy of real writing.
5. Stop when 15 min + up to 3 h 45 min is used. Mark In progress or Blocked with the last successful step; never borrow time from tomorrow.
6. Mark Done only when the expected result and evidence are both present.</t>
        </is>
      </c>
      <c r="F30" s="98" t="inlineStr">
        <is>
          <t>15 min + up to 3 h 45 min</t>
        </is>
      </c>
      <c r="G30" s="98" t="inlineStr">
        <is>
          <t>The named packaged-app journey passes on the required real machine, and the evidence is saved.</t>
        </is>
      </c>
      <c r="H30" s="99" t="inlineStr">
        <is>
          <t>Yes</t>
        </is>
      </c>
      <c r="I30" s="99" t="inlineStr">
        <is>
          <t>Moved</t>
        </is>
      </c>
      <c r="J30" s="98" t="inlineStr">
        <is>
          <t>Rescheduled: see the 'Plan from 1 Oct' sheet (roadmap Sprint alignment is the canonical schedule).</t>
        </is>
      </c>
    </row>
    <row r="31" ht="168" customHeight="1">
      <c r="A31" s="257" t="n">
        <v>46313.5</v>
      </c>
      <c r="B31" s="100" t="inlineStr">
        <is>
          <t>Weekend</t>
        </is>
      </c>
      <c r="C31" s="100" t="inlineStr">
        <is>
          <t>Desktop</t>
        </is>
      </c>
      <c r="D31" s="98" t="inlineStr">
        <is>
          <t>Today is 2026-10-18. Work on YOW in /Users/bishop/Desktop/Claude/yow. Read AGENTS.md and docs/ROADMAP.md first. I am a complete beginner, so own all code changes, terminal work, automated tests, documentation, evidence collection, and safe troubleshooting yourself.
MORNING TECHNICAL ASSIGNMENT
Produce the Windows candidate in CI and drive Windows clean-machine/WebView2/install/export/updater/uninstall acceptance; close the Desktop Gate.
EVENING OWNER ACTION TO PREPARE
Complete or coordinate the Windows checklist, then review the combined desktop evidence.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t>
        </is>
      </c>
      <c r="E31" s="98" t="inlineStr">
        <is>
          <t>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or coordinate the Windows checklist, then review the combined desktop evidence.
4. Safety: Use a test build and isolated test vault, never the only copy of real writing.
5. Stop when 15 min + up to 3 h 45 min is used. Mark In progress or Blocked with the last successful step; never borrow time from tomorrow.
6. Mark Done only when the expected result and evidence are both present.</t>
        </is>
      </c>
      <c r="F31" s="98" t="inlineStr">
        <is>
          <t>15 min + up to 3 h 45 min</t>
        </is>
      </c>
      <c r="G31" s="98" t="inlineStr">
        <is>
          <t>The named packaged-app journey passes on the required real machine, and the evidence is saved.</t>
        </is>
      </c>
      <c r="H31" s="99" t="inlineStr">
        <is>
          <t>Yes</t>
        </is>
      </c>
      <c r="I31" s="99" t="inlineStr">
        <is>
          <t>Moved</t>
        </is>
      </c>
      <c r="J31" s="98" t="inlineStr">
        <is>
          <t>Rescheduled: see the 'Plan from 1 Oct' sheet (roadmap Sprint alignment is the canonical schedule).</t>
        </is>
      </c>
    </row>
    <row r="32" ht="168" customHeight="1">
      <c r="A32" s="257" t="n">
        <v>46314.5</v>
      </c>
      <c r="B32" s="96" t="inlineStr">
        <is>
          <t>Weekday</t>
        </is>
      </c>
      <c r="C32" s="102" t="inlineStr">
        <is>
          <t>Product acceptance</t>
        </is>
      </c>
      <c r="D32" s="98" t="inlineStr">
        <is>
          <t>Today is 2026-10-19. Work on YOW in /Users/bishop/Desktop/Claude/yow. Read AGENTS.md and docs/ROADMAP.md first. I am a complete beginner, so own all code changes, terminal work, automated tests, documentation, evidence collection, and safe troubleshooting yourself.
MORNING TECHNICAL ASSIGNMENT
Run and repair complete Novella and Short Story workflow, defaults, persistence, and export acceptance.
EVENING OWNER ACTION TO PREPARE
Perform the two guided create → write → export journeys.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t>
        </is>
      </c>
      <c r="E32" s="98" t="inlineStr">
        <is>
          <t>1. Morning (10 minutes): open Codex and paste the entire AI prompt from the previous column. Then leave the technical work with AI.
2. Evening: open Codex's result and follow its owner instructions one step at a time.
3. Your action: Perform the two guided create → write → export journeys.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t>
        </is>
      </c>
      <c r="F32" s="98" t="inlineStr">
        <is>
          <t>10 min + 100 min</t>
        </is>
      </c>
      <c r="G32" s="98" t="inlineStr">
        <is>
          <t>The named customer journey works as advertised, and any reproducible launch-blocking failure is fixed and retested.</t>
        </is>
      </c>
      <c r="H32" s="99" t="inlineStr">
        <is>
          <t>Yes</t>
        </is>
      </c>
      <c r="I32" s="99" t="inlineStr">
        <is>
          <t>Moved</t>
        </is>
      </c>
      <c r="J32" s="98" t="inlineStr">
        <is>
          <t>Rescheduled: see the 'Plan from 1 Oct' sheet (roadmap Sprint alignment is the canonical schedule).</t>
        </is>
      </c>
    </row>
    <row r="33" ht="168" customHeight="1">
      <c r="A33" s="257" t="n">
        <v>46315.5</v>
      </c>
      <c r="B33" s="96" t="inlineStr">
        <is>
          <t>Weekday</t>
        </is>
      </c>
      <c r="C33" s="102" t="inlineStr">
        <is>
          <t>Product acceptance</t>
        </is>
      </c>
      <c r="D33" s="98" t="inlineStr">
        <is>
          <t>Today is 2026-10-20. Work on YOW in /Users/bishop/Desktop/Claude/yow. Read AGENTS.md and docs/ROADMAP.md first. I am a complete beginner, so own all code changes, terminal work, automated tests, documentation, evidence collection, and safe troubleshooting yourself.
MORNING TECHNICAL ASSIGNMENT
Run and repair complete D&amp;D and TTRPG prep/recap, Character Builder, map/default, AI-context, and export acceptance.
EVENING OWNER ACTION TO PREPARE
Perform the two guided campaign journeys using disposable campaigns.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t>
        </is>
      </c>
      <c r="E33" s="98" t="inlineStr">
        <is>
          <t>1. Morning (10 minutes): open Codex and paste the entire AI prompt from the previous column. Then leave the technical work with AI.
2. Evening: open Codex's result and follow its owner instructions one step at a time.
3. Your action: Perform the two guided campaign journeys using disposable campaigns.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t>
        </is>
      </c>
      <c r="F33" s="98" t="inlineStr">
        <is>
          <t>10 min + 100 min</t>
        </is>
      </c>
      <c r="G33" s="98" t="inlineStr">
        <is>
          <t>The named customer journey works as advertised, and any reproducible launch-blocking failure is fixed and retested.</t>
        </is>
      </c>
      <c r="H33" s="99" t="inlineStr">
        <is>
          <t>Yes</t>
        </is>
      </c>
      <c r="I33" s="99" t="inlineStr">
        <is>
          <t>Moved</t>
        </is>
      </c>
      <c r="J33" s="98" t="inlineStr">
        <is>
          <t>Rescheduled: see the 'Plan from 1 Oct' sheet (roadmap Sprint alignment is the canonical schedule).</t>
        </is>
      </c>
    </row>
    <row r="34" ht="168" customHeight="1">
      <c r="A34" s="257" t="n">
        <v>46316.5</v>
      </c>
      <c r="B34" s="96" t="inlineStr">
        <is>
          <t>Weekday</t>
        </is>
      </c>
      <c r="C34" s="102" t="inlineStr">
        <is>
          <t>Product acceptance</t>
        </is>
      </c>
      <c r="D34" s="98" t="inlineStr">
        <is>
          <t>Today is 2026-10-21. Work on YOW in /Users/bishop/Desktop/Claude/yow. Read AGENTS.md and docs/ROADMAP.md first. I am a complete beginner, so own all code changes, terminal work, automated tests, documentation, evidence collection, and safe troubleshooting yourself.
MORNING TECHNICAL ASSIGNMENT
Run and repair Novel and Comic live-cloud, large-project, and complete export acceptance.
EVENING OWNER ACTION TO PREPARE
Perform the guided Novel and Comic journeys.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t>
        </is>
      </c>
      <c r="E34" s="98" t="inlineStr">
        <is>
          <t>1. Morning (10 minutes): open Codex and paste the entire AI prompt from the previous column. Then leave the technical work with AI.
2. Evening: open Codex's result and follow its owner instructions one step at a time.
3. Your action: Perform the guided Novel and Comic journeys.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t>
        </is>
      </c>
      <c r="F34" s="98" t="inlineStr">
        <is>
          <t>10 min + 100 min</t>
        </is>
      </c>
      <c r="G34" s="98" t="inlineStr">
        <is>
          <t>The named customer journey works as advertised, and any reproducible launch-blocking failure is fixed and retested.</t>
        </is>
      </c>
      <c r="H34" s="99" t="inlineStr">
        <is>
          <t>Yes</t>
        </is>
      </c>
      <c r="I34" s="99" t="inlineStr">
        <is>
          <t>Moved</t>
        </is>
      </c>
      <c r="J34" s="98" t="inlineStr">
        <is>
          <t>Rescheduled: see the 'Plan from 1 Oct' sheet (roadmap Sprint alignment is the canonical schedule).</t>
        </is>
      </c>
    </row>
    <row r="35" ht="168" customHeight="1">
      <c r="A35" s="257" t="n">
        <v>46317.5</v>
      </c>
      <c r="B35" s="96" t="inlineStr">
        <is>
          <t>Weekday</t>
        </is>
      </c>
      <c r="C35" s="102" t="inlineStr">
        <is>
          <t>Product acceptance</t>
        </is>
      </c>
      <c r="D35" s="98" t="inlineStr">
        <is>
          <t>Today is 2026-10-22. Work on YOW in /Users/bishop/Desktop/Claude/yow. Read AGENTS.md and docs/ROADMAP.md first. I am a complete beginner, so own all code changes, terminal work, automated tests, documentation, evidence collection, and safe troubleshooting yourself.
MORNING TECHNICAL ASSIGNMENT
Run the full Map Builder owner checklist and repair interaction, layer, persistence, responsive, and export defects.
EVENING OWNER ACTION TO PREPARE
Complete the guided map workflow and inspect its exports.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t>
        </is>
      </c>
      <c r="E35" s="98" t="inlineStr">
        <is>
          <t>1. Morning (10 minutes): open Codex and paste the entire AI prompt from the previous column. Then leave the technical work with AI.
2. Evening: open Codex's result and follow its owner instructions one step at a time.
3. Your action: Complete the guided map workflow and inspect its exports.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t>
        </is>
      </c>
      <c r="F35" s="98" t="inlineStr">
        <is>
          <t>10 min + 100 min</t>
        </is>
      </c>
      <c r="G35" s="98" t="inlineStr">
        <is>
          <t>The named customer journey works as advertised, and any reproducible launch-blocking failure is fixed and retested.</t>
        </is>
      </c>
      <c r="H35" s="99" t="inlineStr">
        <is>
          <t>Yes</t>
        </is>
      </c>
      <c r="I35" s="99" t="inlineStr">
        <is>
          <t>Moved</t>
        </is>
      </c>
      <c r="J35" s="98" t="inlineStr">
        <is>
          <t>Rescheduled: see the 'Plan from 1 Oct' sheet (roadmap Sprint alignment is the canonical schedule).</t>
        </is>
      </c>
    </row>
    <row r="36" ht="168" customHeight="1">
      <c r="A36" s="257" t="n">
        <v>46318.5</v>
      </c>
      <c r="B36" s="96" t="inlineStr">
        <is>
          <t>Weekday</t>
        </is>
      </c>
      <c r="C36" s="102" t="inlineStr">
        <is>
          <t>Product acceptance</t>
        </is>
      </c>
      <c r="D36" s="98" t="inlineStr">
        <is>
          <t>Today is 2026-10-23. Work on YOW in /Users/bishop/Desktop/Claude/yow. Read AGENTS.md and docs/ROADMAP.md first. I am a complete beginner, so own all code changes, terminal work, automated tests, documentation, evidence collection, and safe troubleshooting yourself.
MORNING TECHNICAL ASSIGNMENT
Consolidate remaining Characters, Locations, Lore, Timeline/History, Family/Factions, Series, Schedule, Focused Writing, and AI Import checks.
EVENING OWNER ACTION TO PREPARE
Work through the short owner verification packet; flag only reproducible failures.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t>
        </is>
      </c>
      <c r="E36" s="98" t="inlineStr">
        <is>
          <t>1. Morning (10 minutes): open Codex and paste the entire AI prompt from the previous column. Then leave the technical work with AI.
2. Evening: open Codex's result and follow its owner instructions one step at a time.
3. Your action: Work through the short owner verification packet; flag only reproducible failures.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t>
        </is>
      </c>
      <c r="F36" s="98" t="inlineStr">
        <is>
          <t>10 min + 100 min</t>
        </is>
      </c>
      <c r="G36" s="98" t="inlineStr">
        <is>
          <t>The named customer journey works as advertised, and any reproducible launch-blocking failure is fixed and retested.</t>
        </is>
      </c>
      <c r="H36" s="99" t="inlineStr">
        <is>
          <t>Yes</t>
        </is>
      </c>
      <c r="I36" s="99" t="inlineStr">
        <is>
          <t>Moved</t>
        </is>
      </c>
      <c r="J36" s="98" t="inlineStr">
        <is>
          <t>Rescheduled: see the 'Plan from 1 Oct' sheet (roadmap Sprint alignment is the canonical schedule).</t>
        </is>
      </c>
    </row>
    <row r="37" ht="168" customHeight="1">
      <c r="A37" s="257" t="n">
        <v>46319.5</v>
      </c>
      <c r="B37" s="100" t="inlineStr">
        <is>
          <t>Weekend</t>
        </is>
      </c>
      <c r="C37" s="102" t="inlineStr">
        <is>
          <t>Product acceptance</t>
        </is>
      </c>
      <c r="D37" s="98" t="inlineStr">
        <is>
          <t>Today is 2026-10-24. Work on YOW in /Users/bishop/Desktop/Claude/yow. Read AGENTS.md and docs/ROADMAP.md first. I am a complete beginner, so own all code changes, terminal work, automated tests, documentation, evidence collection, and safe troubleshooting yourself.
MORNING TECHNICAL ASSIGNMENT
Run realistic large-project performance plus 375/768/desktop, keyboard, focus, contrast, real-iPhone, and theme acceptance; fix blockers.
EVENING OWNER ACTION TO PREPARE
Complete device/accessibility tests in two focused blocks.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t>
        </is>
      </c>
      <c r="E37" s="98" t="inlineStr">
        <is>
          <t>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device/accessibility tests in two focused blocks.
4. Safety: Use disposable data and stop instead of guessing if the screen differs from the instructions.
5. Stop when 15 min + up to 3 h 45 min is used. Mark In progress or Blocked with the last successful step; never borrow time from tomorrow.
6. Mark Done only when the expected result and evidence are both present.</t>
        </is>
      </c>
      <c r="F37" s="98" t="inlineStr">
        <is>
          <t>15 min + up to 3 h 45 min</t>
        </is>
      </c>
      <c r="G37" s="98" t="inlineStr">
        <is>
          <t>The named customer journey works as advertised, and any reproducible launch-blocking failure is fixed and retested.</t>
        </is>
      </c>
      <c r="H37" s="99" t="inlineStr">
        <is>
          <t>Yes</t>
        </is>
      </c>
      <c r="I37" s="99" t="inlineStr">
        <is>
          <t>Moved</t>
        </is>
      </c>
      <c r="J37" s="98" t="inlineStr">
        <is>
          <t>Rescheduled: see the 'Plan from 1 Oct' sheet (roadmap Sprint alignment is the canonical schedule).</t>
        </is>
      </c>
    </row>
    <row r="38" ht="168" customHeight="1">
      <c r="A38" s="257" t="n">
        <v>46320.5</v>
      </c>
      <c r="B38" s="100" t="inlineStr">
        <is>
          <t>Weekend</t>
        </is>
      </c>
      <c r="C38" s="102" t="inlineStr">
        <is>
          <t>Product acceptance</t>
        </is>
      </c>
      <c r="D38" s="98" t="inlineStr">
        <is>
          <t>Today is 2026-10-25. Work on YOW in /Users/bishop/Desktop/Claude/yow. Read AGENTS.md and docs/ROADMAP.md first. I am a complete beginner, so own all code changes, terminal work, automated tests, documentation, evidence collection, and safe troubleshooting yourself.
MORNING TECHNICAL ASSIGNMENT
Test every advertised AI provider, context grounding, errors/retry, secret isolation, chat persistence/export, then rerun all six project-type exports.
EVENING OWNER ACTION TO PREPARE
Supply provider access without sharing secrets; complete the Product Gate review.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t>
        </is>
      </c>
      <c r="E38" s="98" t="inlineStr">
        <is>
          <t>1. Morning (15 minutes): open Codex and paste the entire AI prompt from the previous column. Then leave the technical work with AI.
2. Block 1: do the first half of the guided test, then take a real break. Block 2: continue from the last safe step and review the evidence.
3. Your action: Supply provider access without sharing secrets; complete the Product Gate review.
4. Safety: Use disposable data and stop instead of guessing if the screen differs from the instructions.
5. Stop when 15 min + up to 3 h 45 min is used. Mark In progress or Blocked with the last successful step; never borrow time from tomorrow.
6. Mark Done only when the expected result and evidence are both present.</t>
        </is>
      </c>
      <c r="F38" s="98" t="inlineStr">
        <is>
          <t>15 min + up to 3 h 45 min</t>
        </is>
      </c>
      <c r="G38" s="98" t="inlineStr">
        <is>
          <t>The named customer journey works as advertised, and any reproducible launch-blocking failure is fixed and retested.</t>
        </is>
      </c>
      <c r="H38" s="99" t="inlineStr">
        <is>
          <t>Yes</t>
        </is>
      </c>
      <c r="I38" s="99" t="inlineStr">
        <is>
          <t>Moved</t>
        </is>
      </c>
      <c r="J38" s="98" t="inlineStr">
        <is>
          <t>Rescheduled: see the 'Plan from 1 Oct' sheet (roadmap Sprint alignment is the canonical schedule).</t>
        </is>
      </c>
    </row>
    <row r="39" ht="168" customHeight="1">
      <c r="A39" s="257" t="n">
        <v>46321.5</v>
      </c>
      <c r="B39" s="96" t="inlineStr">
        <is>
          <t>Weekday</t>
        </is>
      </c>
      <c r="C39" s="103" t="inlineStr">
        <is>
          <t>Payments &amp; release</t>
        </is>
      </c>
      <c r="D39" s="98" t="inlineStr">
        <is>
          <t>Today is 2026-10-26. Work on YOW in /Users/bishop/Desktop/Claude/yow. Read AGENTS.md and docs/ROADMAP.md first. I am a complete beginner, so own all code changes, terminal work, automated tests, documentation, evidence collection, and safe troubleshooting yourself.
MORNING TECHNICAL ASSIGNMENT
Reconcile Pricing, FAQ, Terms, Privacy, cancellation, storage, Local Mode, expiry, Founder, AI, export, SEO, and marketing promises.
EVENING OWNER ACTION TO PREPARE
Read the plain-English change packet and approve or correct the final customer promises.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t>
        </is>
      </c>
      <c r="E39" s="98" t="inlineStr">
        <is>
          <t>1. Morning (10 minutes): open Codex and paste the entire AI prompt from the previous column. Then leave the technical work with AI.
2. Evening: open Codex's result and follow its owner instructions one step at a time.
3. Your action: Read the plain-English change packet and approve or correct the final customer promises.
4. Safety: Stay in Stripe test mode; publish, email, or enable nothing before its dated instruction.
5. Stop when 10 min + 100 min is used. Mark In progress or Blocked with the last successful step; never borrow time from tomorrow.
6. Mark Done only when the expected result and evidence are both present.</t>
        </is>
      </c>
      <c r="F39" s="98" t="inlineStr">
        <is>
          <t>10 min + 100 min</t>
        </is>
      </c>
      <c r="G39" s="98" t="inlineStr">
        <is>
          <t>The named legal, payment, Beta, or release check passes, evidence is saved, and no promise conflicts with behaviour.</t>
        </is>
      </c>
      <c r="H39" s="99" t="inlineStr">
        <is>
          <t>Yes</t>
        </is>
      </c>
      <c r="I39" s="99" t="inlineStr">
        <is>
          <t>Moved</t>
        </is>
      </c>
      <c r="J39" s="98" t="inlineStr">
        <is>
          <t>Rescheduled: see the 'Plan from 1 Oct' sheet (roadmap Sprint alignment is the canonical schedule).</t>
        </is>
      </c>
    </row>
    <row r="40" ht="168" customHeight="1">
      <c r="A40" s="257" t="n">
        <v>46322.5</v>
      </c>
      <c r="B40" s="96" t="inlineStr">
        <is>
          <t>Weekday</t>
        </is>
      </c>
      <c r="C40" s="103" t="inlineStr">
        <is>
          <t>Payments &amp; release</t>
        </is>
      </c>
      <c r="D40" s="98" t="inlineStr">
        <is>
          <t>Today is 2026-10-27. Work on YOW in /Users/bishop/Desktop/Claude/yow. Read AGENTS.md and docs/ROADMAP.md first. I am a complete beginner, so own all code changes, terminal work, automated tests, documentation, evidence collection, and safe troubleshooting yourself.
MORNING TECHNICAL ASSIGNMENT
Audit Stripe configuration, webhook idempotency, entitlement fulfilment, refunds/disputes, Founder allocation, and the test-mode runbook.
EVENING OWNER ACTION TO PREPARE
Open Stripe/Supabase only when guided and confirm the displayed test configuration.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t>
        </is>
      </c>
      <c r="E40" s="98" t="inlineStr">
        <is>
          <t>1. Morning (10 minutes): open Codex and paste the entire AI prompt from the previous column. Then leave the technical work with AI.
2. Evening: open Codex's result and follow its owner instructions one step at a time.
3. Your action: Open Stripe/Supabase only when guided and confirm the displayed test configuration.
4. Safety: Stay in Stripe test mode; publish, email, or enable nothing before its dated instruction.
5. Stop when 10 min + 90 min is used. Mark In progress or Blocked with the last successful step; never borrow time from tomorrow.
6. Mark Done only when the expected result and evidence are both present.</t>
        </is>
      </c>
      <c r="F40" s="98" t="inlineStr">
        <is>
          <t>10 min + 90 min</t>
        </is>
      </c>
      <c r="G40" s="98" t="inlineStr">
        <is>
          <t>The named legal, payment, Beta, or release check passes, evidence is saved, and no promise conflicts with behaviour.</t>
        </is>
      </c>
      <c r="H40" s="99" t="inlineStr">
        <is>
          <t>Yes</t>
        </is>
      </c>
      <c r="I40" s="99" t="inlineStr">
        <is>
          <t>Moved</t>
        </is>
      </c>
      <c r="J40" s="98" t="inlineStr">
        <is>
          <t>Rescheduled: see the 'Plan from 1 Oct' sheet (roadmap Sprint alignment is the canonical schedule).</t>
        </is>
      </c>
    </row>
    <row r="41" ht="168" customHeight="1">
      <c r="A41" s="257" t="n">
        <v>46323.5</v>
      </c>
      <c r="B41" s="96" t="inlineStr">
        <is>
          <t>Weekday</t>
        </is>
      </c>
      <c r="C41" s="103" t="inlineStr">
        <is>
          <t>Payments &amp; release</t>
        </is>
      </c>
      <c r="D41" s="98" t="inlineStr">
        <is>
          <t>Today is 2026-10-28. Work on YOW in /Users/bishop/Desktop/Claude/yow. Read AGENTS.md and docs/ROADMAP.md first. I am a complete beginner, so own all code changes, terminal work, automated tests, documentation, evidence collection, and safe troubleshooting yourself.
MORNING TECHNICAL ASSIGNMENT
Drive the full Stripe test-mode journey one step at a time: Monthly, Lifetime, Founder, renewal, cancel/failure, replay, refund, and dispute.
EVENING OWNER ACTION TO PREPARE
Complete guided test payments and verify app access after each event.
TIME LIMIT
10 min + 110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t>
        </is>
      </c>
      <c r="E41" s="98" t="inlineStr">
        <is>
          <t>1. Morning (10 minutes): open Codex and paste the entire AI prompt from the previous column. Then leave the technical work with AI.
2. Evening: open Codex's result and follow its owner instructions one step at a time.
3. Your action: Complete guided test payments and verify app access after each event.
4. Safety: Stay in Stripe test mode; publish, email, or enable nothing before its dated instruction.
5. Stop when 10 min + 110 min is used. Mark In progress or Blocked with the last successful step; never borrow time from tomorrow.
6. Mark Done only when the expected result and evidence are both present.</t>
        </is>
      </c>
      <c r="F41" s="98" t="inlineStr">
        <is>
          <t>10 min + 110 min</t>
        </is>
      </c>
      <c r="G41" s="98" t="inlineStr">
        <is>
          <t>The named legal, payment, Beta, or release check passes, evidence is saved, and no promise conflicts with behaviour.</t>
        </is>
      </c>
      <c r="H41" s="99" t="inlineStr">
        <is>
          <t>Yes</t>
        </is>
      </c>
      <c r="I41" s="99" t="inlineStr">
        <is>
          <t>Moved</t>
        </is>
      </c>
      <c r="J41" s="98" t="inlineStr">
        <is>
          <t>Rescheduled: see the 'Plan from 1 Oct' sheet (roadmap Sprint alignment is the canonical schedule).</t>
        </is>
      </c>
    </row>
    <row r="42" ht="168" customHeight="1">
      <c r="A42" s="257" t="n">
        <v>46324.5</v>
      </c>
      <c r="B42" s="96" t="inlineStr">
        <is>
          <t>Weekday</t>
        </is>
      </c>
      <c r="C42" s="103" t="inlineStr">
        <is>
          <t>Payments &amp; release</t>
        </is>
      </c>
      <c r="D42" s="98" t="inlineStr">
        <is>
          <t>Today is 2026-10-29. Work on YOW in /Users/bishop/Desktop/Claude/yow. Read AGENTS.md and docs/ROADMAP.md first. I am a complete beginner, so own all code changes, terminal work, automated tests, documentation, evidence collection, and safe troubleshooting yourself.
MORNING TECHNICAL ASSIGNMENT
Prepare the reversible Beta-closure/migration operation, final website copy, screenshots, launch post, ads, support replies, and analytics checks without publishing.
EVENING OWNER ACTION TO PREPARE
Approve the prepared launch assets and Beta transition wording; publish nothing.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t>
        </is>
      </c>
      <c r="E42" s="98" t="inlineStr">
        <is>
          <t>1. Morning (10 minutes): open Codex and paste the entire AI prompt from the previous column. Then leave the technical work with AI.
2. Evening: open Codex's result and follow its owner instructions one step at a time.
3. Your action: Approve the prepared launch assets and Beta transition wording; publish nothing.
4. Safety: Stay in Stripe test mode; publish, email, or enable nothing before its dated instruction.
5. Stop when 10 min + 90 min is used. Mark In progress or Blocked with the last successful step; never borrow time from tomorrow.
6. Mark Done only when the expected result and evidence are both present.</t>
        </is>
      </c>
      <c r="F42" s="98" t="inlineStr">
        <is>
          <t>10 min + 90 min</t>
        </is>
      </c>
      <c r="G42" s="98" t="inlineStr">
        <is>
          <t>The named legal, payment, Beta, or release check passes, evidence is saved, and no promise conflicts with behaviour.</t>
        </is>
      </c>
      <c r="H42" s="99" t="inlineStr">
        <is>
          <t>Yes</t>
        </is>
      </c>
      <c r="I42" s="99" t="inlineStr">
        <is>
          <t>Moved</t>
        </is>
      </c>
      <c r="J42" s="98" t="inlineStr">
        <is>
          <t>Rescheduled: see the 'Plan from 1 Oct' sheet (roadmap Sprint alignment is the canonical schedule).</t>
        </is>
      </c>
    </row>
    <row r="43" ht="168" customHeight="1">
      <c r="A43" s="257" t="n">
        <v>46325.5</v>
      </c>
      <c r="B43" s="96" t="inlineStr">
        <is>
          <t>Weekday</t>
        </is>
      </c>
      <c r="C43" s="103" t="inlineStr">
        <is>
          <t>Payments &amp; release</t>
        </is>
      </c>
      <c r="D43" s="98" t="inlineStr">
        <is>
          <t>Today is 2026-10-30. Work on YOW in /Users/bishop/Desktop/Claude/yow. Read AGENTS.md and docs/ROADMAP.md first. I am a complete beginner, so own all code changes, terminal work, automated tests, documentation, evidence collection, and safe troubleshooting yourself.
MORNING TECHNICAL ASSIGNMENT
Freeze Release Candidate 1; run full automated/browser/Rust/build/security/marketing checks and produce the final go/no-go packet.
EVENING OWNER ACTION TO PREPARE
Perform one 60-minute customer smoke test and make the formal go/no-go decision.
TIME LIMIT
10 min + 105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t>
        </is>
      </c>
      <c r="E43" s="98" t="inlineStr">
        <is>
          <t>1. Morning (10 minutes): open Codex and paste the entire AI prompt from the previous column. Then leave the technical work with AI.
2. Evening: open Codex's result and follow its owner instructions one step at a time.
3. Your action: Perform one 60-minute customer smoke test and make the formal go/no-go decision.
4. Safety: Stay in Stripe test mode; publish, email, or enable nothing before its dated instruction.
5. Stop when 10 min + 105 min is used. Mark In progress or Blocked with the last successful step; never borrow time from tomorrow.
6. Mark Done only when the expected result and evidence are both present.</t>
        </is>
      </c>
      <c r="F43" s="98" t="inlineStr">
        <is>
          <t>10 min + 105 min</t>
        </is>
      </c>
      <c r="G43" s="98" t="inlineStr">
        <is>
          <t>The named legal, payment, Beta, or release check passes, evidence is saved, and no promise conflicts with behaviour.</t>
        </is>
      </c>
      <c r="H43" s="99" t="inlineStr">
        <is>
          <t>Yes</t>
        </is>
      </c>
      <c r="I43" s="99" t="inlineStr">
        <is>
          <t>Not started</t>
        </is>
      </c>
      <c r="J43" s="98" t="inlineStr">
        <is>
          <t>Rescheduled: see the 'Plan from 1 Oct' sheet (roadmap Sprint alignment is the canonical schedule).</t>
        </is>
      </c>
    </row>
    <row r="44" ht="168" customHeight="1">
      <c r="A44" s="257" t="n">
        <v>46326.5</v>
      </c>
      <c r="B44" s="100" t="inlineStr">
        <is>
          <t>Weekend</t>
        </is>
      </c>
      <c r="C44" s="103" t="inlineStr">
        <is>
          <t>Payments &amp; release</t>
        </is>
      </c>
      <c r="D44" s="98" t="inlineStr">
        <is>
          <t>Today is 2026-10-31. Work on YOW in /Users/bishop/Desktop/Claude/yow. Read AGENTS.md and docs/ROADMAP.md first. I am a complete beginner, so own all code changes, terminal work, automated tests, documentation, evidence collection, and safe troubleshooting yourself.
MORNING TECHNICAL ASSIGNMENT
Repair only launch blockers, rerun the full gate, take backups, verify rollback/checkout-disable/support procedures, and rehearse the exact production release.
EVENING OWNER ACTION TO PREPARE
Complete the full launch rehearsal in two blocks; checkout remains off.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t>
        </is>
      </c>
      <c r="E44" s="98" t="inlineStr">
        <is>
          <t>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the full launch rehearsal in two blocks; checkout remains off.
4. Safety: Stay in Stripe test mode; publish, email, or enable nothing before its dated instruction.
5. Stop when 15 min + up to 3 h 45 min is used. Mark In progress or Blocked with the last successful step; never borrow time from tomorrow.
6. Mark Done only when the expected result and evidence are both present.</t>
        </is>
      </c>
      <c r="F44" s="98" t="inlineStr">
        <is>
          <t>15 min + up to 3 h 45 min</t>
        </is>
      </c>
      <c r="G44" s="98" t="inlineStr">
        <is>
          <t>The named legal, payment, Beta, or release check passes, evidence is saved, and no promise conflicts with behaviour.</t>
        </is>
      </c>
      <c r="H44" s="99" t="inlineStr">
        <is>
          <t>Yes</t>
        </is>
      </c>
      <c r="I44" s="99" t="inlineStr">
        <is>
          <t>Not started</t>
        </is>
      </c>
      <c r="J44" s="98" t="inlineStr">
        <is>
          <t>Rescheduled: see the 'Plan from 1 Oct' sheet (roadmap Sprint alignment is the canonical schedule).</t>
        </is>
      </c>
    </row>
    <row r="45" ht="168" customHeight="1">
      <c r="A45" s="257" t="n">
        <v>46327.5</v>
      </c>
      <c r="B45" s="100" t="inlineStr">
        <is>
          <t>Weekend</t>
        </is>
      </c>
      <c r="C45" s="104" t="inlineStr">
        <is>
          <t>Quiet release</t>
        </is>
      </c>
      <c r="D45" s="98" t="inlineStr">
        <is>
          <t>Today is 2026-11-01. Work on YOW in /Users/bishop/Desktop/Claude/yow. Read AGENTS.md and docs/ROADMAP.md first. I am a complete beginner, so own all code changes, terminal work, automated tests, documentation, evidence collection, and safe troubleshooting yourself.
MORNING TECHNICAL ASSIGNMENT
If every hard gate is green: take final backups, deploy the approved release, close public Beta enrollment, preserve existing testers, enable checkout quietly, and monitor.
EVENING OWNER ACTION TO PREPARE
Complete one real purchase, verify entitlement/save/export/refund-support paths, and keep rollback ready. No advertising today.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One real purchase grants the correct access; save and export work; Beta is no longer public; existing testers stay safe; rollback is ready.
At the end, state Done, In progress, or Blocked; list the evidence; and name the single next action if unfinished.</t>
        </is>
      </c>
      <c r="E45" s="98" t="inlineStr">
        <is>
          <t>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one real purchase, verify entitlement/save/export/refund-support paths, and keep rollback ready. No advertising today.
4. Safety: Back up first. Stop and roll back if auth, payment, entitlement, save, or export differs from rehearsal. No ads today.
5. Stop when 15 min + up to 3 h 45 min is used. Mark In progress or Blocked with the last successful step; never borrow time from tomorrow.
6. Mark Done only when the expected result and evidence are both present.</t>
        </is>
      </c>
      <c r="F45" s="98" t="inlineStr">
        <is>
          <t>15 min + up to 3 h 45 min</t>
        </is>
      </c>
      <c r="G45" s="98" t="inlineStr">
        <is>
          <t>One real purchase grants the correct access; save and export work; Beta is no longer public; existing testers stay safe; rollback is ready.</t>
        </is>
      </c>
      <c r="H45" s="99" t="inlineStr">
        <is>
          <t>Yes</t>
        </is>
      </c>
      <c r="I45" s="99" t="inlineStr">
        <is>
          <t>Not started</t>
        </is>
      </c>
      <c r="J45" s="98" t="inlineStr">
        <is>
          <t>Rescheduled: see the 'Plan from 1 Oct' sheet (roadmap Sprint alignment is the canonical schedule).</t>
        </is>
      </c>
    </row>
    <row r="46" ht="168" customHeight="1">
      <c r="A46" s="258" t="n">
        <v>46328.5</v>
      </c>
      <c r="B46" s="106" t="inlineStr">
        <is>
          <t>Weekday</t>
        </is>
      </c>
      <c r="C46" s="107" t="inlineStr">
        <is>
          <t>Public launch</t>
        </is>
      </c>
      <c r="D46" s="108" t="inlineStr">
        <is>
          <t>Today is 2026-11-02. Work on YOW in /Users/bishop/Desktop/Claude/yow. Read AGENTS.md and docs/ROADMAP.md first. I am a complete beginner, so own all code changes, terminal work, automated tests, documentation, evidence collection, and safe troubleshooting yourself.
MORNING TECHNICAL ASSIGNMENT
Recheck overnight errors, payments, entitlements, email, analytics, and support; fix only launch blockers, then publish approved marketing.
EVENING OWNER ACTION TO PREPARE
Review the morning evidence, approve the public announcement/ads, and monitor the first responses that evening.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Overnight health is clean, approved marketing is live, and payment, entitlement, analytics, and support monitoring are active.
At the end, state Done, In progress, or Blocked; list the evidence; and name the single next action if unfinished.</t>
        </is>
      </c>
      <c r="E46" s="108" t="inlineStr">
        <is>
          <t>1. Morning (10 minutes): open Codex and paste the entire AI prompt from the previous column. Then leave the technical work with AI.
2. Evening: open Codex's result and follow its owner instructions one step at a time.
3. Your action: Review the morning evidence, approve the public announcement/ads, and monitor the first responses that evening.
4. Safety: Do not publish until overnight evidence is healthy. Keep rollback and checkout-disable instructions open.
5. Stop when 10 min + 100 min is used. Mark In progress or Blocked with the last successful step; never borrow time from tomorrow.
6. Mark Done only when the expected result and evidence are both present.</t>
        </is>
      </c>
      <c r="F46" s="108" t="inlineStr">
        <is>
          <t>10 min + 100 min</t>
        </is>
      </c>
      <c r="G46" s="108" t="inlineStr">
        <is>
          <t>Overnight health is clean, approved marketing is live, and payment, entitlement, analytics, and support monitoring are active.</t>
        </is>
      </c>
      <c r="H46" s="109" t="inlineStr">
        <is>
          <t>Yes</t>
        </is>
      </c>
      <c r="I46" s="109" t="inlineStr">
        <is>
          <t>Not started</t>
        </is>
      </c>
      <c r="J46" s="108" t="inlineStr">
        <is>
          <t>Rescheduled: see the 'Plan from 1 Oct' sheet (roadmap Sprint alignment is the canonical schedule).</t>
        </is>
      </c>
    </row>
  </sheetData>
  <mergeCells count="4">
    <mergeCell ref="D6:J9"/>
    <mergeCell ref="D5:J5"/>
    <mergeCell ref="A3:J3"/>
    <mergeCell ref="A2:J2"/>
  </mergeCells>
  <conditionalFormatting sqref="I11:I46">
    <cfRule type="containsText" priority="1" operator="containsText" dxfId="0" text="Done"/>
    <cfRule type="containsText" priority="2" operator="containsText" dxfId="1" text="In progress"/>
    <cfRule type="containsText" priority="3" operator="containsText" dxfId="2" text="Blocked"/>
    <cfRule type="containsText" priority="4" operator="containsText" dxfId="3" text="Not started"/>
  </conditionalFormatting>
  <dataValidations count="1">
    <dataValidation sqref="I11:I46" showDropDown="0" showInputMessage="0" showErrorMessage="0" allowBlank="0" type="list">
      <formula1>"Not started,In progress,Blocked,Done"</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tabColor rgb="FF2B7A78"/>
    <outlinePr summaryBelow="1" summaryRight="1"/>
    <pageSetUpPr/>
  </sheetPr>
  <dimension ref="A2:N51"/>
  <sheetViews>
    <sheetView showGridLines="0" workbookViewId="0">
      <pane ySplit="3" topLeftCell="A4" activePane="bottomLeft" state="frozen"/>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2">
      <c r="A2" s="1" t="inlineStr">
        <is>
          <t>SUPERSEDED after 6 Oct: use the 'Plan from 1 Oct' sheet. YOW launch calendar — at a glance</t>
        </is>
      </c>
    </row>
    <row r="3">
      <c r="A3" s="2" t="inlineStr">
        <is>
          <t>Weekdays ≤2 hours · weekends ≤4 hours · use Daily Guide for the full prompt and exact instructions</t>
        </is>
      </c>
    </row>
    <row r="5" ht="24" customHeight="1">
      <c r="A5" s="259" t="inlineStr">
        <is>
          <t>Week 1 · 2026-09-28 to 2026-10-04</t>
        </is>
      </c>
      <c r="B5" s="260" t="n"/>
      <c r="C5" s="260" t="n"/>
      <c r="D5" s="260" t="n"/>
      <c r="E5" s="260" t="n"/>
      <c r="F5" s="260" t="n"/>
      <c r="G5" s="260" t="n"/>
      <c r="H5" s="260" t="n"/>
      <c r="I5" s="260" t="n"/>
      <c r="J5" s="260" t="n"/>
      <c r="K5" s="260" t="n"/>
      <c r="L5" s="260" t="n"/>
      <c r="M5" s="260" t="n"/>
      <c r="N5" s="261" t="n"/>
    </row>
    <row r="6" ht="24" customHeight="1">
      <c r="A6" s="262" t="inlineStr">
        <is>
          <t>Mon 28 Sept</t>
        </is>
      </c>
      <c r="B6" s="261" t="n"/>
      <c r="C6" s="262" t="inlineStr">
        <is>
          <t>Tue 29 Sept</t>
        </is>
      </c>
      <c r="D6" s="261" t="n"/>
      <c r="E6" s="262" t="inlineStr">
        <is>
          <t>Wed 30 Sept</t>
        </is>
      </c>
      <c r="F6" s="261" t="n"/>
      <c r="G6" s="262" t="inlineStr">
        <is>
          <t>Thu 1 Oct</t>
        </is>
      </c>
      <c r="H6" s="261" t="n"/>
      <c r="I6" s="262" t="inlineStr">
        <is>
          <t>Fri 2 Oct</t>
        </is>
      </c>
      <c r="J6" s="261" t="n"/>
      <c r="K6" s="262" t="inlineStr">
        <is>
          <t>Sat 3 Oct</t>
        </is>
      </c>
      <c r="L6" s="261" t="n"/>
      <c r="M6" s="262" t="inlineStr">
        <is>
          <t>Sun 4 Oct</t>
        </is>
      </c>
      <c r="N6" s="261" t="n"/>
    </row>
    <row r="7" ht="26" customHeight="1">
      <c r="A7" s="263" t="inlineStr">
        <is>
          <t>AM — AI
Repair the red release baseline: reconcile the Vercel route test, review the dirty checkout, run full QA, and produce a plain-English blocker report.
PM / BLOCKS — YOU
Review the report, approve the frozen launch scope, and make only required product decisions.
CAP: 10 min morning + 75 min evening</t>
        </is>
      </c>
      <c r="B7" s="236" t="n"/>
      <c r="C7" s="263" t="inlineStr">
        <is>
          <t>AM — AI
Finish baseline fixes, rerun all release checks, classify remaining warnings by launch risk, and prepare a safe smoke-test script.
PM / BLOCKS — YOU
Run sign-in → open/create project → write → refresh → export; report exactly what appears.
CAP: 10 min + 90 min</t>
        </is>
      </c>
      <c r="D7" s="236" t="n"/>
      <c r="E7" s="263" t="inlineStr">
        <is>
          <t>AM — AI
Audit the pending Supabase migrations, production prerequisites, rollback steps, and Security Advisor checks; prepare one-step owner instructions.
PM / BLOCKS — YOU
Open Supabase with Codex guidance, apply only the verified migrations, and record the results.
CAP: 10 min + 90 min</t>
        </is>
      </c>
      <c r="F7" s="236" t="n"/>
      <c r="G7" s="263" t="inlineStr">
        <is>
          <t>AM — AI
Prepare and monitor the real two-tab scene-concurrency acceptance test; fix any reproducible failure and rerun automated coverage.
PM / BLOCKS — YOU
Perform the guided same-scene two-tab test and review or discard the conflict copy.
CAP: 10 min + 90 min</t>
        </is>
      </c>
      <c r="H7" s="236" t="n"/>
      <c r="I7" s="263" t="inlineStr">
        <is>
          <t>AM — AI
Prepare the two-account/account-switch entitlement-isolation test and inspect all server-side entitlement paths.
PM / BLOCKS — YOU
Run the guided two-account test using designated test accounts only.
CAP: 10 min + 90 min</t>
        </is>
      </c>
      <c r="J7" s="236" t="n"/>
      <c r="K7" s="264" t="inlineStr">
        <is>
          <t>AM — AI
Drive the destructive-action, rollback, media, and quota test suite; prepare disposable fixtures and one-step instructions.
PM / BLOCKS — YOU
Test project deletion/restore, account deletion fixture, media replace/delete, and quota accounting in two blocks.
CAP: 15 min + up to 3 h 45 min</t>
        </is>
      </c>
      <c r="L7" s="236" t="n"/>
      <c r="M7" s="264" t="inlineStr">
        <is>
          <t>AM — AI
Run export/import collision and full-account ownership checks; repair failures and assemble Data Safety Gate evidence.
PM / BLOCKS — YOU
Export, inspect, restore/import, and complete the Data Safety go/no-go review.
CAP: 15 min + up to 3 h 45 min</t>
        </is>
      </c>
      <c r="N7" s="236" t="n"/>
    </row>
    <row r="8" ht="26" customHeight="1">
      <c r="A8" s="237" t="n"/>
      <c r="B8" s="238" t="n"/>
      <c r="C8" s="237" t="n"/>
      <c r="D8" s="238" t="n"/>
      <c r="E8" s="237" t="n"/>
      <c r="F8" s="238" t="n"/>
      <c r="G8" s="237" t="n"/>
      <c r="H8" s="238" t="n"/>
      <c r="I8" s="237" t="n"/>
      <c r="J8" s="238" t="n"/>
      <c r="K8" s="237" t="n"/>
      <c r="L8" s="238" t="n"/>
      <c r="M8" s="237" t="n"/>
      <c r="N8" s="238" t="n"/>
    </row>
    <row r="9" ht="26" customHeight="1">
      <c r="A9" s="237" t="n"/>
      <c r="B9" s="238" t="n"/>
      <c r="C9" s="237" t="n"/>
      <c r="D9" s="238" t="n"/>
      <c r="E9" s="237" t="n"/>
      <c r="F9" s="238" t="n"/>
      <c r="G9" s="237" t="n"/>
      <c r="H9" s="238" t="n"/>
      <c r="I9" s="237" t="n"/>
      <c r="J9" s="238" t="n"/>
      <c r="K9" s="237" t="n"/>
      <c r="L9" s="238" t="n"/>
      <c r="M9" s="237" t="n"/>
      <c r="N9" s="238" t="n"/>
    </row>
    <row r="10" ht="26" customHeight="1">
      <c r="A10" s="237" t="n"/>
      <c r="B10" s="238" t="n"/>
      <c r="C10" s="237" t="n"/>
      <c r="D10" s="238" t="n"/>
      <c r="E10" s="237" t="n"/>
      <c r="F10" s="238" t="n"/>
      <c r="G10" s="237" t="n"/>
      <c r="H10" s="238" t="n"/>
      <c r="I10" s="237" t="n"/>
      <c r="J10" s="238" t="n"/>
      <c r="K10" s="237" t="n"/>
      <c r="L10" s="238" t="n"/>
      <c r="M10" s="237" t="n"/>
      <c r="N10" s="238" t="n"/>
    </row>
    <row r="11" ht="26" customHeight="1">
      <c r="A11" s="239" t="n"/>
      <c r="B11" s="241" t="n"/>
      <c r="C11" s="239" t="n"/>
      <c r="D11" s="241" t="n"/>
      <c r="E11" s="239" t="n"/>
      <c r="F11" s="241" t="n"/>
      <c r="G11" s="239" t="n"/>
      <c r="H11" s="241" t="n"/>
      <c r="I11" s="239" t="n"/>
      <c r="J11" s="241" t="n"/>
      <c r="K11" s="239" t="n"/>
      <c r="L11" s="241" t="n"/>
      <c r="M11" s="239" t="n"/>
      <c r="N11" s="241" t="n"/>
    </row>
    <row r="13" ht="24" customHeight="1">
      <c r="A13" s="265" t="inlineStr">
        <is>
          <t>Week 2 · 2026-10-05 to 2026-10-11</t>
        </is>
      </c>
      <c r="B13" s="260" t="n"/>
      <c r="C13" s="260" t="n"/>
      <c r="D13" s="260" t="n"/>
      <c r="E13" s="260" t="n"/>
      <c r="F13" s="260" t="n"/>
      <c r="G13" s="260" t="n"/>
      <c r="H13" s="260" t="n"/>
      <c r="I13" s="260" t="n"/>
      <c r="J13" s="260" t="n"/>
      <c r="K13" s="260" t="n"/>
      <c r="L13" s="260" t="n"/>
      <c r="M13" s="260" t="n"/>
      <c r="N13" s="261" t="n"/>
    </row>
    <row r="14" ht="24" customHeight="1">
      <c r="A14" s="262" t="inlineStr">
        <is>
          <t>Mon 5 Oct</t>
        </is>
      </c>
      <c r="B14" s="261" t="n"/>
      <c r="C14" s="262" t="inlineStr">
        <is>
          <t>Tue 6 Oct</t>
        </is>
      </c>
      <c r="D14" s="261" t="n"/>
      <c r="E14" s="262" t="inlineStr">
        <is>
          <t>Wed 7 Oct</t>
        </is>
      </c>
      <c r="F14" s="261" t="n"/>
      <c r="G14" s="262" t="inlineStr">
        <is>
          <t>Thu 8 Oct</t>
        </is>
      </c>
      <c r="H14" s="261" t="n"/>
      <c r="I14" s="262" t="inlineStr">
        <is>
          <t>Fri 9 Oct</t>
        </is>
      </c>
      <c r="J14" s="261" t="n"/>
      <c r="K14" s="262" t="inlineStr">
        <is>
          <t>Sat 10 Oct</t>
        </is>
      </c>
      <c r="L14" s="261" t="n"/>
      <c r="M14" s="262" t="inlineStr">
        <is>
          <t>Sun 11 Oct</t>
        </is>
      </c>
      <c r="N14" s="261" t="n"/>
    </row>
    <row r="15" ht="26" customHeight="1">
      <c r="A15" s="263" t="inlineStr">
        <is>
          <t>AM — AI
Audit and live-check AI proxy, email endpoints, CORS, durable rate limits, token rejection, and deployed security headers.
PM / BLOCKS — YOU
Follow the safe browser/dashboard checks and record only pass/fail evidence.
CAP: 10 min + 90 min</t>
        </is>
      </c>
      <c r="B15" s="236" t="n"/>
      <c r="C15" s="263" t="inlineStr">
        <is>
          <t>AM — AI
Complete private-media RLS and storage-accounting verification, including replacement and deletion cleanup.
PM / BLOCKS — YOU
Upload, replace, delete, and verify one disposable image and its storage figure.
CAP: 10 min + 75 min</t>
        </is>
      </c>
      <c r="D15" s="236" t="n"/>
      <c r="E15" s="263" t="inlineStr">
        <is>
          <t>AM — AI
Finish the cloud-expiry/inactive-account lifecycle implementation and tests: notices, Export All, grace, archive/delete, and cloud-write shutdown.
PM / BLOCKS — YOU
Review the customer-visible sequence and approve the exact wording.
CAP: 10 min + 75 min</t>
        </is>
      </c>
      <c r="F15" s="236" t="n"/>
      <c r="G15" s="263" t="inlineStr">
        <is>
          <t>AM — AI
Run complete ZIP/DOCX/PDF/World Bible ownership and privacy checks, including expiry access and readable output inspection.
PM / BLOCKS — YOU
Open the generated files and confirm the expected content is present and private data is absent where promised.
CAP: 10 min + 90 min</t>
        </is>
      </c>
      <c r="H15" s="236" t="n"/>
      <c r="I15" s="263" t="inlineStr">
        <is>
          <t>AM — AI
Retrieve or document the missing production function definitions, close reproducible database-build gaps, and rerun database checks.
PM / BLOCKS — YOU
Provide guided production access only if needed; review the database continuity result.
CAP: 10 min + 60 min</t>
        </is>
      </c>
      <c r="J15" s="236" t="n"/>
      <c r="K15" s="264" t="inlineStr">
        <is>
          <t>AM — AI
Run the entire data-safety/auth/export matrix and fix failures in priority order.
PM / BLOCKS — YOU
Perform the remaining real-account checks in two focused blocks; stop at four hours.
CAP: 15 min + up to 3 h 45 min</t>
        </is>
      </c>
      <c r="L15" s="236" t="n"/>
      <c r="M15" s="264" t="inlineStr">
        <is>
          <t>AM — AI
Use the day as the hard-gate repair buffer, rerun the whole matrix, and produce a signed-off evidence summary.
PM / BLOCKS — YOU
Review the summary. Mark the gate Done only if no data-loss/auth/export blocker remains.
CAP: 15 min + up to 3 h 45 min</t>
        </is>
      </c>
      <c r="N15" s="236" t="n"/>
    </row>
    <row r="16" ht="26" customHeight="1">
      <c r="A16" s="237" t="n"/>
      <c r="B16" s="238" t="n"/>
      <c r="C16" s="237" t="n"/>
      <c r="D16" s="238" t="n"/>
      <c r="E16" s="237" t="n"/>
      <c r="F16" s="238" t="n"/>
      <c r="G16" s="237" t="n"/>
      <c r="H16" s="238" t="n"/>
      <c r="I16" s="237" t="n"/>
      <c r="J16" s="238" t="n"/>
      <c r="K16" s="237" t="n"/>
      <c r="L16" s="238" t="n"/>
      <c r="M16" s="237" t="n"/>
      <c r="N16" s="238" t="n"/>
    </row>
    <row r="17" ht="26" customHeight="1">
      <c r="A17" s="237" t="n"/>
      <c r="B17" s="238" t="n"/>
      <c r="C17" s="237" t="n"/>
      <c r="D17" s="238" t="n"/>
      <c r="E17" s="237" t="n"/>
      <c r="F17" s="238" t="n"/>
      <c r="G17" s="237" t="n"/>
      <c r="H17" s="238" t="n"/>
      <c r="I17" s="237" t="n"/>
      <c r="J17" s="238" t="n"/>
      <c r="K17" s="237" t="n"/>
      <c r="L17" s="238" t="n"/>
      <c r="M17" s="237" t="n"/>
      <c r="N17" s="238" t="n"/>
    </row>
    <row r="18" ht="26" customHeight="1">
      <c r="A18" s="237" t="n"/>
      <c r="B18" s="238" t="n"/>
      <c r="C18" s="237" t="n"/>
      <c r="D18" s="238" t="n"/>
      <c r="E18" s="237" t="n"/>
      <c r="F18" s="238" t="n"/>
      <c r="G18" s="237" t="n"/>
      <c r="H18" s="238" t="n"/>
      <c r="I18" s="237" t="n"/>
      <c r="J18" s="238" t="n"/>
      <c r="K18" s="237" t="n"/>
      <c r="L18" s="238" t="n"/>
      <c r="M18" s="237" t="n"/>
      <c r="N18" s="238" t="n"/>
    </row>
    <row r="19" ht="26" customHeight="1">
      <c r="A19" s="239" t="n"/>
      <c r="B19" s="241" t="n"/>
      <c r="C19" s="239" t="n"/>
      <c r="D19" s="241" t="n"/>
      <c r="E19" s="239" t="n"/>
      <c r="F19" s="241" t="n"/>
      <c r="G19" s="239" t="n"/>
      <c r="H19" s="241" t="n"/>
      <c r="I19" s="239" t="n"/>
      <c r="J19" s="241" t="n"/>
      <c r="K19" s="239" t="n"/>
      <c r="L19" s="241" t="n"/>
      <c r="M19" s="239" t="n"/>
      <c r="N19" s="241" t="n"/>
    </row>
    <row r="21" ht="24" customHeight="1">
      <c r="A21" s="266" t="inlineStr">
        <is>
          <t>Week 3 · 2026-10-12 to 2026-10-18</t>
        </is>
      </c>
      <c r="B21" s="260" t="n"/>
      <c r="C21" s="260" t="n"/>
      <c r="D21" s="260" t="n"/>
      <c r="E21" s="260" t="n"/>
      <c r="F21" s="260" t="n"/>
      <c r="G21" s="260" t="n"/>
      <c r="H21" s="260" t="n"/>
      <c r="I21" s="260" t="n"/>
      <c r="J21" s="260" t="n"/>
      <c r="K21" s="260" t="n"/>
      <c r="L21" s="260" t="n"/>
      <c r="M21" s="260" t="n"/>
      <c r="N21" s="261" t="n"/>
    </row>
    <row r="22" ht="24" customHeight="1">
      <c r="A22" s="262" t="inlineStr">
        <is>
          <t>Mon 12 Oct</t>
        </is>
      </c>
      <c r="B22" s="261" t="n"/>
      <c r="C22" s="262" t="inlineStr">
        <is>
          <t>Tue 13 Oct</t>
        </is>
      </c>
      <c r="D22" s="261" t="n"/>
      <c r="E22" s="262" t="inlineStr">
        <is>
          <t>Wed 14 Oct</t>
        </is>
      </c>
      <c r="F22" s="261" t="n"/>
      <c r="G22" s="262" t="inlineStr">
        <is>
          <t>Thu 15 Oct</t>
        </is>
      </c>
      <c r="H22" s="261" t="n"/>
      <c r="I22" s="262" t="inlineStr">
        <is>
          <t>Fri 16 Oct</t>
        </is>
      </c>
      <c r="J22" s="261" t="n"/>
      <c r="K22" s="262" t="inlineStr">
        <is>
          <t>Sat 17 Oct</t>
        </is>
      </c>
      <c r="L22" s="261" t="n"/>
      <c r="M22" s="262" t="inlineStr">
        <is>
          <t>Sun 18 Oct</t>
        </is>
      </c>
      <c r="N22" s="261" t="n"/>
    </row>
    <row r="23" ht="26" customHeight="1">
      <c r="A23" s="263" t="inlineStr">
        <is>
          <t>AM — AI
Implement/finish the full signed-in Tauri project workspace and run desktop unit/Rust/build checks.
PM / BLOCKS — YOU
Open the Mac test build and verify login, library, project navigation, and writing.
CAP: 10 min + 100 min</t>
        </is>
      </c>
      <c r="B23" s="236" t="n"/>
      <c r="C23" s="263" t="inlineStr">
        <is>
          <t>AM — AI
Stress the desktop vault: write-behind durability, quit/force-quit, snapshot, restore, relocation, integrity, and disk-error handling.
PM / BLOCKS — YOU
Run the guided vault persistence and restore test with an isolated test vault.
CAP: 10 min + 100 min</t>
        </is>
      </c>
      <c r="D23" s="236" t="n"/>
      <c r="E23" s="263" t="inlineStr">
        <is>
          <t>AM — AI
Verify and repair native ZIP/DOCX/PDF/PNG save dialogs and file contents in packaged desktop builds.
PM / BLOCKS — YOU
Save and open each format from the packaged Mac app.
CAP: 10 min + 90 min</t>
        </is>
      </c>
      <c r="F23" s="236" t="n"/>
      <c r="G23" s="263" t="inlineStr">
        <is>
          <t>AM — AI
Finish Local Mode/lapse/renewal merge logic, cold-start retry, conflict surfacing, and no-cloud-write verification.
PM / BLOCKS — YOU
Run the guided lapse → web edit → renewal → desktop merge scenario.
CAP: 10 min + 100 min</t>
        </is>
      </c>
      <c r="H23" s="236" t="n"/>
      <c r="I23" s="263" t="inlineStr">
        <is>
          <t>AM — AI
Finalise updater manifests, download entitlement gating, installer URLs, hashes, provenance, and unsigned-app instructions.
PM / BLOCKS — YOU
Review the download page and Mac instructions as a customer.
CAP: 10 min + 75 min</t>
        </is>
      </c>
      <c r="J23" s="236" t="n"/>
      <c r="K23" s="264" t="inlineStr">
        <is>
          <t>AM — AI
Produce and inspect the final Mac candidate; drive clean-machine install, workspace, export, restore, updater, and uninstall acceptance.
PM / BLOCKS — YOU
Complete the clean/test Mac checklist in two blocks.
CAP: 15 min + up to 3 h 45 min</t>
        </is>
      </c>
      <c r="L23" s="236" t="n"/>
      <c r="M23" s="264" t="inlineStr">
        <is>
          <t>AM — AI
Produce the Windows candidate in CI and drive Windows clean-machine/WebView2/install/export/updater/uninstall acceptance; close the Desktop Gate.
PM / BLOCKS — YOU
Complete or coordinate the Windows checklist, then review the combined desktop evidence.
CAP: 15 min + up to 3 h 45 min</t>
        </is>
      </c>
      <c r="N23" s="236" t="n"/>
    </row>
    <row r="24" ht="26" customHeight="1">
      <c r="A24" s="237" t="n"/>
      <c r="B24" s="238" t="n"/>
      <c r="C24" s="237" t="n"/>
      <c r="D24" s="238" t="n"/>
      <c r="E24" s="237" t="n"/>
      <c r="F24" s="238" t="n"/>
      <c r="G24" s="237" t="n"/>
      <c r="H24" s="238" t="n"/>
      <c r="I24" s="237" t="n"/>
      <c r="J24" s="238" t="n"/>
      <c r="K24" s="237" t="n"/>
      <c r="L24" s="238" t="n"/>
      <c r="M24" s="237" t="n"/>
      <c r="N24" s="238" t="n"/>
    </row>
    <row r="25" ht="26" customHeight="1">
      <c r="A25" s="237" t="n"/>
      <c r="B25" s="238" t="n"/>
      <c r="C25" s="237" t="n"/>
      <c r="D25" s="238" t="n"/>
      <c r="E25" s="237" t="n"/>
      <c r="F25" s="238" t="n"/>
      <c r="G25" s="237" t="n"/>
      <c r="H25" s="238" t="n"/>
      <c r="I25" s="237" t="n"/>
      <c r="J25" s="238" t="n"/>
      <c r="K25" s="237" t="n"/>
      <c r="L25" s="238" t="n"/>
      <c r="M25" s="237" t="n"/>
      <c r="N25" s="238" t="n"/>
    </row>
    <row r="26" ht="26" customHeight="1">
      <c r="A26" s="237" t="n"/>
      <c r="B26" s="238" t="n"/>
      <c r="C26" s="237" t="n"/>
      <c r="D26" s="238" t="n"/>
      <c r="E26" s="237" t="n"/>
      <c r="F26" s="238" t="n"/>
      <c r="G26" s="237" t="n"/>
      <c r="H26" s="238" t="n"/>
      <c r="I26" s="237" t="n"/>
      <c r="J26" s="238" t="n"/>
      <c r="K26" s="237" t="n"/>
      <c r="L26" s="238" t="n"/>
      <c r="M26" s="237" t="n"/>
      <c r="N26" s="238" t="n"/>
    </row>
    <row r="27" ht="26" customHeight="1">
      <c r="A27" s="239" t="n"/>
      <c r="B27" s="241" t="n"/>
      <c r="C27" s="239" t="n"/>
      <c r="D27" s="241" t="n"/>
      <c r="E27" s="239" t="n"/>
      <c r="F27" s="241" t="n"/>
      <c r="G27" s="239" t="n"/>
      <c r="H27" s="241" t="n"/>
      <c r="I27" s="239" t="n"/>
      <c r="J27" s="241" t="n"/>
      <c r="K27" s="239" t="n"/>
      <c r="L27" s="241" t="n"/>
      <c r="M27" s="239" t="n"/>
      <c r="N27" s="241" t="n"/>
    </row>
    <row r="29" ht="24" customHeight="1">
      <c r="A29" s="267" t="inlineStr">
        <is>
          <t>Week 4 · 2026-10-19 to 2026-10-25</t>
        </is>
      </c>
      <c r="B29" s="260" t="n"/>
      <c r="C29" s="260" t="n"/>
      <c r="D29" s="260" t="n"/>
      <c r="E29" s="260" t="n"/>
      <c r="F29" s="260" t="n"/>
      <c r="G29" s="260" t="n"/>
      <c r="H29" s="260" t="n"/>
      <c r="I29" s="260" t="n"/>
      <c r="J29" s="260" t="n"/>
      <c r="K29" s="260" t="n"/>
      <c r="L29" s="260" t="n"/>
      <c r="M29" s="260" t="n"/>
      <c r="N29" s="261" t="n"/>
    </row>
    <row r="30" ht="24" customHeight="1">
      <c r="A30" s="262" t="inlineStr">
        <is>
          <t>Mon 19 Oct</t>
        </is>
      </c>
      <c r="B30" s="261" t="n"/>
      <c r="C30" s="262" t="inlineStr">
        <is>
          <t>Tue 20 Oct</t>
        </is>
      </c>
      <c r="D30" s="261" t="n"/>
      <c r="E30" s="262" t="inlineStr">
        <is>
          <t>Wed 21 Oct</t>
        </is>
      </c>
      <c r="F30" s="261" t="n"/>
      <c r="G30" s="262" t="inlineStr">
        <is>
          <t>Thu 22 Oct</t>
        </is>
      </c>
      <c r="H30" s="261" t="n"/>
      <c r="I30" s="262" t="inlineStr">
        <is>
          <t>Fri 23 Oct</t>
        </is>
      </c>
      <c r="J30" s="261" t="n"/>
      <c r="K30" s="262" t="inlineStr">
        <is>
          <t>Sat 24 Oct</t>
        </is>
      </c>
      <c r="L30" s="261" t="n"/>
      <c r="M30" s="262" t="inlineStr">
        <is>
          <t>Sun 25 Oct</t>
        </is>
      </c>
      <c r="N30" s="261" t="n"/>
    </row>
    <row r="31" ht="26" customHeight="1">
      <c r="A31" s="263" t="inlineStr">
        <is>
          <t>AM — AI
Run and repair complete Novella and Short Story workflow, defaults, persistence, and export acceptance.
PM / BLOCKS — YOU
Perform the two guided create → write → export journeys.
CAP: 10 min + 100 min</t>
        </is>
      </c>
      <c r="B31" s="236" t="n"/>
      <c r="C31" s="263" t="inlineStr">
        <is>
          <t>AM — AI
Run and repair complete D&amp;D and TTRPG prep/recap, Character Builder, map/default, AI-context, and export acceptance.
PM / BLOCKS — YOU
Perform the two guided campaign journeys using disposable campaigns.
CAP: 10 min + 100 min</t>
        </is>
      </c>
      <c r="D31" s="236" t="n"/>
      <c r="E31" s="263" t="inlineStr">
        <is>
          <t>AM — AI
Run and repair Novel and Comic live-cloud, large-project, and complete export acceptance.
PM / BLOCKS — YOU
Perform the guided Novel and Comic journeys.
CAP: 10 min + 100 min</t>
        </is>
      </c>
      <c r="F31" s="236" t="n"/>
      <c r="G31" s="263" t="inlineStr">
        <is>
          <t>AM — AI
Run the full Map Builder owner checklist and repair interaction, layer, persistence, responsive, and export defects.
PM / BLOCKS — YOU
Complete the guided map workflow and inspect its exports.
CAP: 10 min + 100 min</t>
        </is>
      </c>
      <c r="H31" s="236" t="n"/>
      <c r="I31" s="263" t="inlineStr">
        <is>
          <t>AM — AI
Consolidate remaining Characters, Locations, Lore, Timeline/History, Family/Factions, Series, Schedule, Focused Writing, and AI Import checks.
PM / BLOCKS — YOU
Work through the short owner verification packet; flag only reproducible failures.
CAP: 10 min + 100 min</t>
        </is>
      </c>
      <c r="J31" s="236" t="n"/>
      <c r="K31" s="264" t="inlineStr">
        <is>
          <t>AM — AI
Run realistic large-project performance plus 375/768/desktop, keyboard, focus, contrast, real-iPhone, and theme acceptance; fix blockers.
PM / BLOCKS — YOU
Complete device/accessibility tests in two focused blocks.
CAP: 15 min + up to 3 h 45 min</t>
        </is>
      </c>
      <c r="L31" s="236" t="n"/>
      <c r="M31" s="264" t="inlineStr">
        <is>
          <t>AM — AI
Test every advertised AI provider, context grounding, errors/retry, secret isolation, chat persistence/export, then rerun all six project-type exports.
PM / BLOCKS — YOU
Supply provider access without sharing secrets; complete the Product Gate review.
CAP: 15 min + up to 3 h 45 min</t>
        </is>
      </c>
      <c r="N31" s="236" t="n"/>
    </row>
    <row r="32" ht="26" customHeight="1">
      <c r="A32" s="237" t="n"/>
      <c r="B32" s="238" t="n"/>
      <c r="C32" s="237" t="n"/>
      <c r="D32" s="238" t="n"/>
      <c r="E32" s="237" t="n"/>
      <c r="F32" s="238" t="n"/>
      <c r="G32" s="237" t="n"/>
      <c r="H32" s="238" t="n"/>
      <c r="I32" s="237" t="n"/>
      <c r="J32" s="238" t="n"/>
      <c r="K32" s="237" t="n"/>
      <c r="L32" s="238" t="n"/>
      <c r="M32" s="237" t="n"/>
      <c r="N32" s="238" t="n"/>
    </row>
    <row r="33" ht="26" customHeight="1">
      <c r="A33" s="237" t="n"/>
      <c r="B33" s="238" t="n"/>
      <c r="C33" s="237" t="n"/>
      <c r="D33" s="238" t="n"/>
      <c r="E33" s="237" t="n"/>
      <c r="F33" s="238" t="n"/>
      <c r="G33" s="237" t="n"/>
      <c r="H33" s="238" t="n"/>
      <c r="I33" s="237" t="n"/>
      <c r="J33" s="238" t="n"/>
      <c r="K33" s="237" t="n"/>
      <c r="L33" s="238" t="n"/>
      <c r="M33" s="237" t="n"/>
      <c r="N33" s="238" t="n"/>
    </row>
    <row r="34" ht="26" customHeight="1">
      <c r="A34" s="237" t="n"/>
      <c r="B34" s="238" t="n"/>
      <c r="C34" s="237" t="n"/>
      <c r="D34" s="238" t="n"/>
      <c r="E34" s="237" t="n"/>
      <c r="F34" s="238" t="n"/>
      <c r="G34" s="237" t="n"/>
      <c r="H34" s="238" t="n"/>
      <c r="I34" s="237" t="n"/>
      <c r="J34" s="238" t="n"/>
      <c r="K34" s="237" t="n"/>
      <c r="L34" s="238" t="n"/>
      <c r="M34" s="237" t="n"/>
      <c r="N34" s="238" t="n"/>
    </row>
    <row r="35" ht="26" customHeight="1">
      <c r="A35" s="239" t="n"/>
      <c r="B35" s="241" t="n"/>
      <c r="C35" s="239" t="n"/>
      <c r="D35" s="241" t="n"/>
      <c r="E35" s="239" t="n"/>
      <c r="F35" s="241" t="n"/>
      <c r="G35" s="239" t="n"/>
      <c r="H35" s="241" t="n"/>
      <c r="I35" s="239" t="n"/>
      <c r="J35" s="241" t="n"/>
      <c r="K35" s="239" t="n"/>
      <c r="L35" s="241" t="n"/>
      <c r="M35" s="239" t="n"/>
      <c r="N35" s="241" t="n"/>
    </row>
    <row r="37" ht="24" customHeight="1">
      <c r="A37" s="268" t="inlineStr">
        <is>
          <t>Week 5 · 2026-10-26 to 2026-11-01</t>
        </is>
      </c>
      <c r="B37" s="260" t="n"/>
      <c r="C37" s="260" t="n"/>
      <c r="D37" s="260" t="n"/>
      <c r="E37" s="260" t="n"/>
      <c r="F37" s="260" t="n"/>
      <c r="G37" s="260" t="n"/>
      <c r="H37" s="260" t="n"/>
      <c r="I37" s="260" t="n"/>
      <c r="J37" s="260" t="n"/>
      <c r="K37" s="260" t="n"/>
      <c r="L37" s="260" t="n"/>
      <c r="M37" s="260" t="n"/>
      <c r="N37" s="261" t="n"/>
    </row>
    <row r="38" ht="24" customHeight="1">
      <c r="A38" s="262" t="inlineStr">
        <is>
          <t>Mon 26 Oct</t>
        </is>
      </c>
      <c r="B38" s="261" t="n"/>
      <c r="C38" s="262" t="inlineStr">
        <is>
          <t>Tue 27 Oct</t>
        </is>
      </c>
      <c r="D38" s="261" t="n"/>
      <c r="E38" s="262" t="inlineStr">
        <is>
          <t>Wed 28 Oct</t>
        </is>
      </c>
      <c r="F38" s="261" t="n"/>
      <c r="G38" s="262" t="inlineStr">
        <is>
          <t>Thu 29 Oct</t>
        </is>
      </c>
      <c r="H38" s="261" t="n"/>
      <c r="I38" s="262" t="inlineStr">
        <is>
          <t>Fri 30 Oct</t>
        </is>
      </c>
      <c r="J38" s="261" t="n"/>
      <c r="K38" s="262" t="inlineStr">
        <is>
          <t>Sat 31 Oct</t>
        </is>
      </c>
      <c r="L38" s="261" t="n"/>
      <c r="M38" s="262" t="inlineStr">
        <is>
          <t>Sun 1 Nov</t>
        </is>
      </c>
      <c r="N38" s="261" t="n"/>
    </row>
    <row r="39" ht="26" customHeight="1">
      <c r="A39" s="263" t="inlineStr">
        <is>
          <t>AM — AI
Reconcile Pricing, FAQ, Terms, Privacy, cancellation, storage, Local Mode, expiry, Founder, AI, export, SEO, and marketing promises.
PM / BLOCKS — YOU
Read the plain-English change packet and approve or correct the final customer promises.
CAP: 10 min + 100 min</t>
        </is>
      </c>
      <c r="B39" s="236" t="n"/>
      <c r="C39" s="263" t="inlineStr">
        <is>
          <t>AM — AI
Audit Stripe configuration, webhook idempotency, entitlement fulfilment, refunds/disputes, Founder allocation, and the test-mode runbook.
PM / BLOCKS — YOU
Open Stripe/Supabase only when guided and confirm the displayed test configuration.
CAP: 10 min + 90 min</t>
        </is>
      </c>
      <c r="D39" s="236" t="n"/>
      <c r="E39" s="263" t="inlineStr">
        <is>
          <t>AM — AI
Drive the full Stripe test-mode journey one step at a time: Monthly, Lifetime, Founder, renewal, cancel/failure, replay, refund, and dispute.
PM / BLOCKS — YOU
Complete guided test payments and verify app access after each event.
CAP: 10 min + 110 min</t>
        </is>
      </c>
      <c r="F39" s="236" t="n"/>
      <c r="G39" s="263" t="inlineStr">
        <is>
          <t>AM — AI
Prepare the reversible Beta-closure/migration operation, final website copy, screenshots, launch post, ads, support replies, and analytics checks without publishing.
PM / BLOCKS — YOU
Approve the prepared launch assets and Beta transition wording; publish nothing.
CAP: 10 min + 90 min</t>
        </is>
      </c>
      <c r="H39" s="236" t="n"/>
      <c r="I39" s="263" t="inlineStr">
        <is>
          <t>AM — AI
Freeze Release Candidate 1; run full automated/browser/Rust/build/security/marketing checks and produce the final go/no-go packet.
PM / BLOCKS — YOU
Perform one 60-minute customer smoke test and make the formal go/no-go decision.
CAP: 10 min + 105 min</t>
        </is>
      </c>
      <c r="J39" s="236" t="n"/>
      <c r="K39" s="264" t="inlineStr">
        <is>
          <t>AM — AI
Repair only launch blockers, rerun the full gate, take backups, verify rollback/checkout-disable/support procedures, and rehearse the exact production release.
PM / BLOCKS — YOU
Complete the full launch rehearsal in two blocks; checkout remains off.
CAP: 15 min + up to 3 h 45 min</t>
        </is>
      </c>
      <c r="L39" s="236" t="n"/>
      <c r="M39" s="264" t="inlineStr">
        <is>
          <t>AM — AI
If every hard gate is green: take final backups, deploy the approved release, close public Beta enrollment, preserve existing testers, enable checkout quietly, and monitor.
PM / BLOCKS — YOU
Complete one real purchase, verify entitlement/save/export/refund-support paths, and keep rollback ready. No advertising today.
CAP: 15 min + up to 3 h 45 min</t>
        </is>
      </c>
      <c r="N39" s="236" t="n"/>
    </row>
    <row r="40" ht="26" customHeight="1">
      <c r="A40" s="237" t="n"/>
      <c r="B40" s="238" t="n"/>
      <c r="C40" s="237" t="n"/>
      <c r="D40" s="238" t="n"/>
      <c r="E40" s="237" t="n"/>
      <c r="F40" s="238" t="n"/>
      <c r="G40" s="237" t="n"/>
      <c r="H40" s="238" t="n"/>
      <c r="I40" s="237" t="n"/>
      <c r="J40" s="238" t="n"/>
      <c r="K40" s="237" t="n"/>
      <c r="L40" s="238" t="n"/>
      <c r="M40" s="237" t="n"/>
      <c r="N40" s="238" t="n"/>
    </row>
    <row r="41" ht="26" customHeight="1">
      <c r="A41" s="237" t="n"/>
      <c r="B41" s="238" t="n"/>
      <c r="C41" s="237" t="n"/>
      <c r="D41" s="238" t="n"/>
      <c r="E41" s="237" t="n"/>
      <c r="F41" s="238" t="n"/>
      <c r="G41" s="237" t="n"/>
      <c r="H41" s="238" t="n"/>
      <c r="I41" s="237" t="n"/>
      <c r="J41" s="238" t="n"/>
      <c r="K41" s="237" t="n"/>
      <c r="L41" s="238" t="n"/>
      <c r="M41" s="237" t="n"/>
      <c r="N41" s="238" t="n"/>
    </row>
    <row r="42" ht="26" customHeight="1">
      <c r="A42" s="237" t="n"/>
      <c r="B42" s="238" t="n"/>
      <c r="C42" s="237" t="n"/>
      <c r="D42" s="238" t="n"/>
      <c r="E42" s="237" t="n"/>
      <c r="F42" s="238" t="n"/>
      <c r="G42" s="237" t="n"/>
      <c r="H42" s="238" t="n"/>
      <c r="I42" s="237" t="n"/>
      <c r="J42" s="238" t="n"/>
      <c r="K42" s="237" t="n"/>
      <c r="L42" s="238" t="n"/>
      <c r="M42" s="237" t="n"/>
      <c r="N42" s="238" t="n"/>
    </row>
    <row r="43" ht="26" customHeight="1">
      <c r="A43" s="239" t="n"/>
      <c r="B43" s="241" t="n"/>
      <c r="C43" s="239" t="n"/>
      <c r="D43" s="241" t="n"/>
      <c r="E43" s="239" t="n"/>
      <c r="F43" s="241" t="n"/>
      <c r="G43" s="239" t="n"/>
      <c r="H43" s="241" t="n"/>
      <c r="I43" s="239" t="n"/>
      <c r="J43" s="241" t="n"/>
      <c r="K43" s="239" t="n"/>
      <c r="L43" s="241" t="n"/>
      <c r="M43" s="239" t="n"/>
      <c r="N43" s="241" t="n"/>
    </row>
    <row r="45" ht="24" customHeight="1">
      <c r="A45" s="269" t="inlineStr">
        <is>
          <t>Week 6 · 2026-11-02 to 2026-11-02</t>
        </is>
      </c>
      <c r="B45" s="260" t="n"/>
      <c r="C45" s="260" t="n"/>
      <c r="D45" s="260" t="n"/>
      <c r="E45" s="260" t="n"/>
      <c r="F45" s="260" t="n"/>
      <c r="G45" s="260" t="n"/>
      <c r="H45" s="260" t="n"/>
      <c r="I45" s="260" t="n"/>
      <c r="J45" s="260" t="n"/>
      <c r="K45" s="260" t="n"/>
      <c r="L45" s="260" t="n"/>
      <c r="M45" s="260" t="n"/>
      <c r="N45" s="261" t="n"/>
    </row>
    <row r="46" ht="24" customHeight="1">
      <c r="A46" s="262" t="inlineStr">
        <is>
          <t>Mon 2 Nov</t>
        </is>
      </c>
      <c r="B46" s="261" t="n"/>
      <c r="C46" s="262" t="n"/>
      <c r="D46" s="261" t="n"/>
      <c r="E46" s="262" t="n"/>
      <c r="F46" s="261" t="n"/>
      <c r="G46" s="262" t="n"/>
      <c r="H46" s="261" t="n"/>
      <c r="I46" s="262" t="n"/>
      <c r="J46" s="261" t="n"/>
      <c r="K46" s="262" t="n"/>
      <c r="L46" s="261" t="n"/>
      <c r="M46" s="262" t="n"/>
      <c r="N46" s="261" t="n"/>
    </row>
    <row r="47" ht="26" customHeight="1">
      <c r="A47" s="263" t="inlineStr">
        <is>
          <t>AM — AI
Recheck overnight errors, payments, entitlements, email, analytics, and support; fix only launch blockers, then publish approved marketing.
PM / BLOCKS — YOU
Review the morning evidence, approve the public announcement/ads, and monitor the first responses that evening.
CAP: 10 min + 100 min</t>
        </is>
      </c>
      <c r="B47" s="236" t="n"/>
      <c r="C47" s="270" t="n"/>
      <c r="D47" s="236" t="n"/>
      <c r="E47" s="270" t="n"/>
      <c r="F47" s="236" t="n"/>
      <c r="G47" s="270" t="n"/>
      <c r="H47" s="236" t="n"/>
      <c r="I47" s="270" t="n"/>
      <c r="J47" s="236" t="n"/>
      <c r="K47" s="270" t="n"/>
      <c r="L47" s="236" t="n"/>
      <c r="M47" s="270" t="n"/>
      <c r="N47" s="236" t="n"/>
    </row>
    <row r="48" ht="26" customHeight="1">
      <c r="A48" s="237" t="n"/>
      <c r="B48" s="238" t="n"/>
      <c r="C48" s="237" t="n"/>
      <c r="D48" s="238" t="n"/>
      <c r="E48" s="237" t="n"/>
      <c r="F48" s="238" t="n"/>
      <c r="G48" s="237" t="n"/>
      <c r="H48" s="238" t="n"/>
      <c r="I48" s="237" t="n"/>
      <c r="J48" s="238" t="n"/>
      <c r="K48" s="237" t="n"/>
      <c r="L48" s="238" t="n"/>
      <c r="M48" s="237" t="n"/>
      <c r="N48" s="238" t="n"/>
    </row>
    <row r="49" ht="26" customHeight="1">
      <c r="A49" s="237" t="n"/>
      <c r="B49" s="238" t="n"/>
      <c r="C49" s="237" t="n"/>
      <c r="D49" s="238" t="n"/>
      <c r="E49" s="237" t="n"/>
      <c r="F49" s="238" t="n"/>
      <c r="G49" s="237" t="n"/>
      <c r="H49" s="238" t="n"/>
      <c r="I49" s="237" t="n"/>
      <c r="J49" s="238" t="n"/>
      <c r="K49" s="237" t="n"/>
      <c r="L49" s="238" t="n"/>
      <c r="M49" s="237" t="n"/>
      <c r="N49" s="238" t="n"/>
    </row>
    <row r="50" ht="26" customHeight="1">
      <c r="A50" s="237" t="n"/>
      <c r="B50" s="238" t="n"/>
      <c r="C50" s="237" t="n"/>
      <c r="D50" s="238" t="n"/>
      <c r="E50" s="237" t="n"/>
      <c r="F50" s="238" t="n"/>
      <c r="G50" s="237" t="n"/>
      <c r="H50" s="238" t="n"/>
      <c r="I50" s="237" t="n"/>
      <c r="J50" s="238" t="n"/>
      <c r="K50" s="237" t="n"/>
      <c r="L50" s="238" t="n"/>
      <c r="M50" s="237" t="n"/>
      <c r="N50" s="238" t="n"/>
    </row>
    <row r="51" ht="26" customHeight="1">
      <c r="A51" s="239" t="n"/>
      <c r="B51" s="241" t="n"/>
      <c r="C51" s="239" t="n"/>
      <c r="D51" s="241" t="n"/>
      <c r="E51" s="239" t="n"/>
      <c r="F51" s="241" t="n"/>
      <c r="G51" s="239" t="n"/>
      <c r="H51" s="241" t="n"/>
      <c r="I51" s="239" t="n"/>
      <c r="J51" s="241" t="n"/>
      <c r="K51" s="239" t="n"/>
      <c r="L51" s="241" t="n"/>
      <c r="M51" s="239" t="n"/>
      <c r="N51" s="241" t="n"/>
    </row>
  </sheetData>
  <mergeCells count="92">
    <mergeCell ref="M47:N51"/>
    <mergeCell ref="C6:D6"/>
    <mergeCell ref="K15:L19"/>
    <mergeCell ref="C15:D19"/>
    <mergeCell ref="A45:N45"/>
    <mergeCell ref="A39:B43"/>
    <mergeCell ref="I15:J19"/>
    <mergeCell ref="G7:H11"/>
    <mergeCell ref="I7:J11"/>
    <mergeCell ref="A7:B11"/>
    <mergeCell ref="A37:N37"/>
    <mergeCell ref="C47:D51"/>
    <mergeCell ref="A22:B22"/>
    <mergeCell ref="M7:N11"/>
    <mergeCell ref="E22:F22"/>
    <mergeCell ref="G22:H22"/>
    <mergeCell ref="I30:J30"/>
    <mergeCell ref="A30:B30"/>
    <mergeCell ref="K30:L30"/>
    <mergeCell ref="I6:J6"/>
    <mergeCell ref="C30:D30"/>
    <mergeCell ref="I46:J46"/>
    <mergeCell ref="C14:D14"/>
    <mergeCell ref="E14:F14"/>
    <mergeCell ref="E38:F38"/>
    <mergeCell ref="G38:H38"/>
    <mergeCell ref="A46:B46"/>
    <mergeCell ref="M39:N43"/>
    <mergeCell ref="E39:F43"/>
    <mergeCell ref="G39:H43"/>
    <mergeCell ref="I47:J51"/>
    <mergeCell ref="A3:N3"/>
    <mergeCell ref="K47:L51"/>
    <mergeCell ref="A21:N21"/>
    <mergeCell ref="G15:H19"/>
    <mergeCell ref="K31:L35"/>
    <mergeCell ref="C31:D35"/>
    <mergeCell ref="M31:N35"/>
    <mergeCell ref="A5:N5"/>
    <mergeCell ref="E31:F35"/>
    <mergeCell ref="E15:F19"/>
    <mergeCell ref="E7:F11"/>
    <mergeCell ref="I23:J27"/>
    <mergeCell ref="A23:B27"/>
    <mergeCell ref="K23:L27"/>
    <mergeCell ref="C23:D27"/>
    <mergeCell ref="K6:L6"/>
    <mergeCell ref="C7:D11"/>
    <mergeCell ref="C22:D22"/>
    <mergeCell ref="K46:L46"/>
    <mergeCell ref="E6:F6"/>
    <mergeCell ref="C46:D46"/>
    <mergeCell ref="E46:F46"/>
    <mergeCell ref="A2:N2"/>
    <mergeCell ref="M15:N19"/>
    <mergeCell ref="A14:B14"/>
    <mergeCell ref="A38:B38"/>
    <mergeCell ref="C38:D38"/>
    <mergeCell ref="A47:B51"/>
    <mergeCell ref="M38:N38"/>
    <mergeCell ref="K7:L11"/>
    <mergeCell ref="A29:N29"/>
    <mergeCell ref="K39:L43"/>
    <mergeCell ref="C39:D43"/>
    <mergeCell ref="A13:N13"/>
    <mergeCell ref="E47:F51"/>
    <mergeCell ref="G47:H51"/>
    <mergeCell ref="M23:N27"/>
    <mergeCell ref="G31:H35"/>
    <mergeCell ref="I31:J35"/>
    <mergeCell ref="A31:B35"/>
    <mergeCell ref="A6:B6"/>
    <mergeCell ref="A15:B19"/>
    <mergeCell ref="E23:F27"/>
    <mergeCell ref="G23:H27"/>
    <mergeCell ref="G6:H6"/>
    <mergeCell ref="I22:J22"/>
    <mergeCell ref="K22:L22"/>
    <mergeCell ref="M22:N22"/>
    <mergeCell ref="M30:N30"/>
    <mergeCell ref="E30:F30"/>
    <mergeCell ref="M6:N6"/>
    <mergeCell ref="G30:H30"/>
    <mergeCell ref="M46:N46"/>
    <mergeCell ref="G14:H14"/>
    <mergeCell ref="I14:J14"/>
    <mergeCell ref="K14:L14"/>
    <mergeCell ref="I38:J38"/>
    <mergeCell ref="K38:L38"/>
    <mergeCell ref="M14:N14"/>
    <mergeCell ref="G46:H46"/>
    <mergeCell ref="I39:J43"/>
  </mergeCells>
  <pageMargins left="0.7" right="0.7" top="0.75" bottom="0.75" header="0.3" footer="0.3"/>
</worksheet>
</file>

<file path=xl/worksheets/sheet6.xml><?xml version="1.0" encoding="utf-8"?>
<worksheet xmlns="http://schemas.openxmlformats.org/spreadsheetml/2006/main">
  <sheetPr>
    <tabColor rgb="FF7B8794"/>
    <outlinePr summaryBelow="1" summaryRight="1"/>
    <pageSetUpPr/>
  </sheetPr>
  <dimension ref="A2:C22"/>
  <sheetViews>
    <sheetView showGridLines="0" workbookViewId="0">
      <pane ySplit="5" topLeftCell="A6" activePane="bottomLeft" state="frozen"/>
      <selection activeCell="A1" sqref="A1"/>
    </sheetView>
  </sheetViews>
  <sheetFormatPr baseColWidth="8" defaultRowHeight="15"/>
  <cols>
    <col width="25" customWidth="1" min="1" max="1"/>
    <col width="65" customWidth="1" min="2" max="2"/>
    <col width="65" customWidth="1" min="3" max="3"/>
  </cols>
  <sheetData>
    <row r="2">
      <c r="A2" s="1" t="inlineStr">
        <is>
          <t>Plain-English glossary</t>
        </is>
      </c>
    </row>
    <row r="3">
      <c r="A3" s="2" t="inlineStr">
        <is>
          <t>You are not expected to memorise these words. Look here whenever the plan uses one you do not know.</t>
        </is>
      </c>
    </row>
    <row r="5">
      <c r="A5" s="225" t="inlineStr">
        <is>
          <t>Term</t>
        </is>
      </c>
      <c r="B5" s="225" t="inlineStr">
        <is>
          <t>What it means</t>
        </is>
      </c>
      <c r="C5" s="225" t="inlineStr">
        <is>
          <t>Why you care</t>
        </is>
      </c>
    </row>
    <row r="6" ht="48" customHeight="1">
      <c r="A6" s="232" t="inlineStr">
        <is>
          <t>AI handoff</t>
        </is>
      </c>
      <c r="B6" s="232" t="inlineStr">
        <is>
          <t>The morning prompt pasted into Codex so it can do technical work while you are unavailable.</t>
        </is>
      </c>
      <c r="C6" s="232" t="inlineStr">
        <is>
          <t>It turns a few morning minutes into a prepared evening test.</t>
        </is>
      </c>
    </row>
    <row r="7" ht="48" customHeight="1">
      <c r="A7" s="98" t="inlineStr">
        <is>
          <t>Scope freeze</t>
        </is>
      </c>
      <c r="B7" s="98" t="inlineStr">
        <is>
          <t>No new launch features; only work needed to make the agreed product safe and honest.</t>
        </is>
      </c>
      <c r="C7" s="98" t="inlineStr">
        <is>
          <t>It protects the target from nonessential ideas.</t>
        </is>
      </c>
    </row>
    <row r="8" ht="48" customHeight="1">
      <c r="A8" s="98" t="inlineStr">
        <is>
          <t>QA</t>
        </is>
      </c>
      <c r="B8" s="98" t="inlineStr">
        <is>
          <t>Deliberately testing the product and recording what passed or failed.</t>
        </is>
      </c>
      <c r="C8" s="98" t="inlineStr">
        <is>
          <t>It prevents customers discovering serious problems after paying.</t>
        </is>
      </c>
    </row>
    <row r="9" ht="48" customHeight="1">
      <c r="A9" s="98" t="inlineStr">
        <is>
          <t>Smoke test</t>
        </is>
      </c>
      <c r="B9" s="98" t="inlineStr">
        <is>
          <t>A short critical-path test: sign in, open, write, save, and export.</t>
        </is>
      </c>
      <c r="C9" s="98" t="inlineStr">
        <is>
          <t>If it fails, deeper work pauses until basics are repaired.</t>
        </is>
      </c>
    </row>
    <row r="10" ht="48" customHeight="1">
      <c r="A10" s="98" t="inlineStr">
        <is>
          <t>Production</t>
        </is>
      </c>
      <c r="B10" s="98" t="inlineStr">
        <is>
          <t>The live YOW service and real customer data.</t>
        </is>
      </c>
      <c r="C10" s="98" t="inlineStr">
        <is>
          <t>Actions here can affect real people.</t>
        </is>
      </c>
    </row>
    <row r="11" ht="48" customHeight="1">
      <c r="A11" s="98" t="inlineStr">
        <is>
          <t>Database migration</t>
        </is>
      </c>
      <c r="B11" s="98" t="inlineStr">
        <is>
          <t>A versioned instruction changing database structure, functions, or security rules.</t>
        </is>
      </c>
      <c r="C11" s="98" t="inlineStr">
        <is>
          <t>It must be verified and reversible.</t>
        </is>
      </c>
    </row>
    <row r="12" ht="48" customHeight="1">
      <c r="A12" s="98" t="inlineStr">
        <is>
          <t>RLS</t>
        </is>
      </c>
      <c r="B12" s="98" t="inlineStr">
        <is>
          <t>Database rules deciding which user may read or change each row.</t>
        </is>
      </c>
      <c r="C12" s="98" t="inlineStr">
        <is>
          <t>It prevents customers seeing each other's data.</t>
        </is>
      </c>
    </row>
    <row r="13" ht="48" customHeight="1">
      <c r="A13" s="98" t="inlineStr">
        <is>
          <t>Stripe test mode</t>
        </is>
      </c>
      <c r="B13" s="98" t="inlineStr">
        <is>
          <t>A safe Stripe environment using pretend cards and no real money.</t>
        </is>
      </c>
      <c r="C13" s="98" t="inlineStr">
        <is>
          <t>Payment behaviour must pass here before checkout is live.</t>
        </is>
      </c>
    </row>
    <row r="14" ht="48" customHeight="1">
      <c r="A14" s="98" t="inlineStr">
        <is>
          <t>Webhook</t>
        </is>
      </c>
      <c r="B14" s="98" t="inlineStr">
        <is>
          <t>A signed message Stripe sends YOW after a payment event.</t>
        </is>
      </c>
      <c r="C14" s="98" t="inlineStr">
        <is>
          <t>It changes paid access.</t>
        </is>
      </c>
    </row>
    <row r="15" ht="48" customHeight="1">
      <c r="A15" s="98" t="inlineStr">
        <is>
          <t>Entitlement</t>
        </is>
      </c>
      <c r="B15" s="98" t="inlineStr">
        <is>
          <t>The server-controlled record of features a plan allows.</t>
        </is>
      </c>
      <c r="C15" s="98" t="inlineStr">
        <is>
          <t>Customers receive exactly what they paid for.</t>
        </is>
      </c>
    </row>
    <row r="16" ht="48" customHeight="1">
      <c r="A16" s="98" t="inlineStr">
        <is>
          <t>Release candidate</t>
        </is>
      </c>
      <c r="B16" s="98" t="inlineStr">
        <is>
          <t>The exact build proposed for launch after feature work stops.</t>
        </is>
      </c>
      <c r="C16" s="98" t="inlineStr">
        <is>
          <t>Only blockers should alter it.</t>
        </is>
      </c>
    </row>
    <row r="17" ht="48" customHeight="1">
      <c r="A17" s="98" t="inlineStr">
        <is>
          <t>Hard gate</t>
        </is>
      </c>
      <c r="B17" s="98" t="inlineStr">
        <is>
          <t>A safety or business check that must pass before launch proceeds.</t>
        </is>
      </c>
      <c r="C17" s="98" t="inlineStr">
        <is>
          <t>Failure moves the date; it is never skipped.</t>
        </is>
      </c>
    </row>
    <row r="18" ht="48" customHeight="1">
      <c r="A18" s="98" t="inlineStr">
        <is>
          <t>Rollback</t>
        </is>
      </c>
      <c r="B18" s="98" t="inlineStr">
        <is>
          <t>Return production to its previous known-good version.</t>
        </is>
      </c>
      <c r="C18" s="98" t="inlineStr">
        <is>
          <t>It is the safe exit when launch differs from rehearsal.</t>
        </is>
      </c>
    </row>
    <row r="19" ht="48" customHeight="1">
      <c r="A19" s="98" t="inlineStr">
        <is>
          <t>Quiet release</t>
        </is>
      </c>
      <c r="B19" s="98" t="inlineStr">
        <is>
          <t>Checkout is live but ads are not; one real purchase proves the full path.</t>
        </is>
      </c>
      <c r="C19" s="98" t="inlineStr">
        <is>
          <t>It catches production-only problems before traffic arrives.</t>
        </is>
      </c>
    </row>
    <row r="20" ht="48" customHeight="1">
      <c r="A20" s="98" t="inlineStr">
        <is>
          <t>Public launch</t>
        </is>
      </c>
      <c r="B20" s="98" t="inlineStr">
        <is>
          <t>The healthy product is announced and marketing begins.</t>
        </is>
      </c>
      <c r="C20" s="98" t="inlineStr">
        <is>
          <t>People seeing an ad can buy immediately.</t>
        </is>
      </c>
    </row>
    <row r="21" ht="48" customHeight="1">
      <c r="A21" s="98" t="inlineStr">
        <is>
          <t>Beta closure</t>
        </is>
      </c>
      <c r="B21" s="98" t="inlineStr">
        <is>
          <t>Stop offering Beta to new people while preserving existing testers' agreed access and exports.</t>
        </is>
      </c>
      <c r="C21" s="98" t="inlineStr">
        <is>
          <t>It changes the offer without abruptly locking people out.</t>
        </is>
      </c>
    </row>
    <row r="22" ht="48" customHeight="1">
      <c r="A22" s="233" t="inlineStr">
        <is>
          <t>Evidence</t>
        </is>
      </c>
      <c r="B22" s="233" t="inlineStr">
        <is>
          <t>A result, screenshot, log, file, or observation showing what happened.</t>
        </is>
      </c>
      <c r="C22" s="233" t="inlineStr">
        <is>
          <t>Done means proven, not attempted.</t>
        </is>
      </c>
    </row>
  </sheetData>
  <mergeCells count="2">
    <mergeCell ref="A3:C3"/>
    <mergeCell ref="A2:C2"/>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cols>
    <col width="16" customWidth="1" min="1" max="1"/>
    <col width="120" customWidth="1" min="2" max="2"/>
    <col width="16" customWidth="1" min="3" max="3"/>
  </cols>
  <sheetData>
    <row r="1">
      <c r="A1" s="243" t="inlineStr">
        <is>
          <t>Gate to day map and the roadmap items each day also closes (from docs/ROADMAP.md)</t>
        </is>
      </c>
    </row>
    <row r="3">
      <c r="A3" s="244" t="inlineStr">
        <is>
          <t>Gate</t>
        </is>
      </c>
      <c r="B3" s="244" t="inlineStr">
        <is>
          <t>How the sprint closes it</t>
        </is>
      </c>
      <c r="C3" s="244" t="inlineStr">
        <is>
          <t>Closing day</t>
        </is>
      </c>
    </row>
    <row r="4">
      <c r="A4" s="245" t="inlineStr">
        <is>
          <t>Scope gate</t>
        </is>
      </c>
      <c r="B4" s="245" t="inlineStr">
        <is>
          <t>Desktop workspace built and verified (6-10 and 16 Oct); every Launch Required and To Be Implemented row closed by 15 Oct or explicitly moved to Future/Excluded</t>
        </is>
      </c>
      <c r="C4" s="245" t="inlineStr">
        <is>
          <t>2026-10-15</t>
        </is>
      </c>
    </row>
    <row r="5">
      <c r="A5" s="245" t="inlineStr">
        <is>
          <t>Project-type gate</t>
        </is>
      </c>
      <c r="B5" s="245" t="inlineStr">
        <is>
          <t>All six types pass create -&gt; write -&gt; export (11-14 Oct); AI behaviour per type (18-19 Oct)</t>
        </is>
      </c>
      <c r="C5" s="245" t="inlineStr">
        <is>
          <t>2026-10-19</t>
        </is>
      </c>
    </row>
    <row r="6">
      <c r="A6" s="245" t="inlineStr">
        <is>
          <t>Data safety gate</t>
        </is>
      </c>
      <c r="B6" s="245" t="inlineStr">
        <is>
          <t>Auth, save, restore, isolation, storage-limit and local/cloud transition evidence (1-5 Oct)</t>
        </is>
      </c>
      <c r="C6" s="245" t="inlineStr">
        <is>
          <t>2026-10-05</t>
        </is>
      </c>
    </row>
    <row r="7">
      <c r="A7" s="245" t="inlineStr">
        <is>
          <t>Export ownership gate</t>
        </is>
      </c>
      <c r="B7" s="245" t="inlineStr">
        <is>
          <t>ZIP/DOCX/PDF/World Bible readable and private, including expiry access (2 and 4-5 Oct)</t>
        </is>
      </c>
      <c r="C7" s="245" t="inlineStr">
        <is>
          <t>2026-10-05</t>
        </is>
      </c>
    </row>
    <row r="8">
      <c r="A8" s="245" t="inlineStr">
        <is>
          <t>Payment gate</t>
        </is>
      </c>
      <c r="B8" s="245" t="inlineStr">
        <is>
          <t>Stripe test-mode journey passes (20-22 Oct), live config reviewed without purchase (23-24 Oct)</t>
        </is>
      </c>
      <c r="C8" s="245" t="inlineStr">
        <is>
          <t>2026-10-23</t>
        </is>
      </c>
    </row>
    <row r="9">
      <c r="A9" s="245" t="inlineStr">
        <is>
          <t>Legal and promise gate</t>
        </is>
      </c>
      <c r="B9" s="245" t="inlineStr">
        <is>
          <t>Copy, Terms, Privacy and behaviour reconciled and approved (20 Oct)</t>
        </is>
      </c>
      <c r="C9" s="245" t="inlineStr">
        <is>
          <t>2026-10-20</t>
        </is>
      </c>
    </row>
    <row r="10">
      <c r="A10" s="245" t="inlineStr">
        <is>
          <t>Responsive gate</t>
        </is>
      </c>
      <c r="B10" s="245" t="inlineStr">
        <is>
          <t>375/768/desktop, Safari/Firefox, real iPhone, keyboard and screen reader (17 Oct)</t>
        </is>
      </c>
      <c r="C10" s="245" t="inlineStr">
        <is>
          <t>2026-10-17</t>
        </is>
      </c>
    </row>
    <row r="11">
      <c r="A11" s="245" t="inlineStr">
        <is>
          <t>Performance gate</t>
        </is>
      </c>
      <c r="B11" s="245" t="inlineStr">
        <is>
          <t>Bundle/route budgets and realistic large-project load (17 Oct); decision D1</t>
        </is>
      </c>
      <c r="C11" s="245" t="inlineStr">
        <is>
          <t>2026-10-17</t>
        </is>
      </c>
    </row>
    <row r="12">
      <c r="A12" s="245" t="inlineStr">
        <is>
          <t>Marketing gate</t>
        </is>
      </c>
      <c r="B12" s="245" t="inlineStr">
        <is>
          <t>Passed 24 Sep for its defined scope; re-verified after copy changes (20 and 23 Oct)</t>
        </is>
      </c>
      <c r="C12" s="245" t="inlineStr">
        <is>
          <t>2026-10-23</t>
        </is>
      </c>
    </row>
    <row r="15">
      <c r="A15" s="244" t="inlineStr">
        <is>
          <t>Day</t>
        </is>
      </c>
      <c r="B15" s="244" t="inlineStr">
        <is>
          <t>Item to close</t>
        </is>
      </c>
    </row>
    <row r="16">
      <c r="A16" s="246" t="n">
        <v>46296</v>
      </c>
      <c r="B16" s="245" t="inlineStr">
        <is>
          <t>Web idle-logout (24h) live-check script: force stale timestamp, confirm clean sign-out without data loss</t>
        </is>
      </c>
    </row>
    <row r="17">
      <c r="A17" s="246" t="n">
        <v>46296</v>
      </c>
      <c r="B17" s="245" t="inlineStr">
        <is>
          <t>Canonical-host redirect verification (bare domain -&gt; www; path+query preserved; cross-tab auth) script and result</t>
        </is>
      </c>
    </row>
    <row r="18">
      <c r="A18" s="246" t="n">
        <v>46296</v>
      </c>
      <c r="B18" s="245" t="inlineStr">
        <is>
          <t>Deployed security-header check (CSP, HSTS, nosniff, frame, referrer) if not already evidenced on 5 Oct</t>
        </is>
      </c>
    </row>
    <row r="19">
      <c r="A19" s="246" t="n">
        <v>46297</v>
      </c>
      <c r="B19" s="245" t="inlineStr">
        <is>
          <t>DOCX single line-break vs blank-line paragraph fidelity, checked by opening in real Word and Google Docs</t>
        </is>
      </c>
    </row>
    <row r="20">
      <c r="A20" s="246" t="n">
        <v>46297</v>
      </c>
      <c r="B20" s="245" t="inlineStr">
        <is>
          <t>AI chat saved as project entry and exported to Word (full chat panel path, not just bottom bar)</t>
        </is>
      </c>
    </row>
    <row r="21">
      <c r="A21" s="246" t="n">
        <v>46297</v>
      </c>
      <c r="B21" s="245" t="inlineStr">
        <is>
          <t>World Bible / visual PDF/HTML encyclopedia output inspected for all six project types</t>
        </is>
      </c>
    </row>
    <row r="22">
      <c r="A22" s="246" t="n">
        <v>46298</v>
      </c>
      <c r="B22" s="245" t="inlineStr">
        <is>
          <t>Confirm scene-revision migration is applied in production and the legacy-projection fallback is no longer needed</t>
        </is>
      </c>
    </row>
    <row r="23">
      <c r="A23" s="246" t="n">
        <v>46298</v>
      </c>
      <c r="B23" s="245" t="inlineStr">
        <is>
          <t>Replay every committed migration on an empty Supabase project with no manual SQL; reconcile migration history; dry-run push</t>
        </is>
      </c>
    </row>
    <row r="24">
      <c r="A24" s="246" t="n">
        <v>46298</v>
      </c>
      <c r="B24" s="245" t="inlineStr">
        <is>
          <t>Two-account global-ID collision attempts against every normalized table</t>
        </is>
      </c>
    </row>
    <row r="25">
      <c r="A25" s="246" t="n">
        <v>46298</v>
      </c>
      <c r="B25" s="245" t="inlineStr">
        <is>
          <t>Deploy only the authoritative Vercel billing stack; retire/quarantine the drifted legacy Supabase Edge Function Stripe copies</t>
        </is>
      </c>
    </row>
    <row r="26">
      <c r="A26" s="246" t="n">
        <v>46298</v>
      </c>
      <c r="B26" s="245" t="inlineStr">
        <is>
          <t>Verify .env.example + runbook can stand up a disposable environment with no browser-exposed provider keys</t>
        </is>
      </c>
    </row>
    <row r="27">
      <c r="A27" s="246" t="n">
        <v>46298</v>
      </c>
      <c r="B27" s="245" t="inlineStr">
        <is>
          <t>Scene cleanup on project delete: prepare read-only Supabase check that no scene rows remain</t>
        </is>
      </c>
    </row>
    <row r="28">
      <c r="A28" s="246" t="n">
        <v>46298</v>
      </c>
      <c r="B28" s="245" t="inlineStr">
        <is>
          <t>Security Advisor leftovers: leaked-password protection is NOT available on the owner's current Supabase plan (owner confirmed 30 Sep) - record it as an accepted Advisor warning and instead verify the minimum password length/strength policy; clean up the duplicate owner-only scenes policies (8) [DONE early, passed 2 Oct] Free-account deletion end-to-end with two designated test accounts (A deleted, B returns): all four notice emails fire for each, the final notice date is right, A and its stored media are deleted with an audit row, B signs in after the final notice and is NOT deleted, no real account is touched; procedure and SQL in docs/QA_PLAN.md "2026-10-03 Free-account deletion end-to-end". Evidence feeds the 4-5 Oct Data safety matrix and gate summary; any failure is repaired on 4-5 Oct.</t>
        </is>
      </c>
    </row>
    <row r="29">
      <c r="A29" s="246" t="n">
        <v>46299</v>
      </c>
      <c r="B29" s="245" t="inlineStr">
        <is>
          <t>Entitlement negative matrix: Free user cannot write plan/status/Founder/Lifetime/Stripe fields via any path</t>
        </is>
      </c>
    </row>
    <row r="30">
      <c r="A30" s="246" t="n">
        <v>46299</v>
      </c>
      <c r="B30" s="245" t="inlineStr">
        <is>
          <t>Durable rate-limit live checks (AI proxy, feedback, paid-interest, email actions): 6th request 429s, window clears</t>
        </is>
      </c>
    </row>
    <row r="31">
      <c r="A31" s="246" t="n">
        <v>46299</v>
      </c>
      <c r="B31" s="245" t="inlineStr">
        <is>
          <t>Queued-storage fault injection: IndexedDB/SQLite open, quota, disk-full, corruption, close-during-write; UI never says Saved before durable</t>
        </is>
      </c>
    </row>
    <row r="32">
      <c r="A32" s="246" t="n">
        <v>46299</v>
      </c>
      <c r="B32" s="245" t="inlineStr">
        <is>
          <t>Legacy migration matrix: localStorage-only, IndexedDB-only, divergent, empty scenes, orphan keys, tombstones, auth tokens preserved/excluded</t>
        </is>
      </c>
    </row>
    <row r="33">
      <c r="A33" s="246" t="n">
        <v>46299</v>
      </c>
      <c r="B33" s="245" t="inlineStr">
        <is>
          <t>Project archive identity matrix: export/import beside original, another account, colliding IDs, every project type</t>
        </is>
      </c>
    </row>
    <row r="34">
      <c r="A34" s="246" t="n">
        <v>46299</v>
      </c>
      <c r="B34" s="245" t="inlineStr">
        <is>
          <t>Server-side quota enforcement bypassing the UI (MIME, size, concurrency, deletion accounting, downgrade/renewal)</t>
        </is>
      </c>
    </row>
    <row r="35">
      <c r="A35" s="246" t="n">
        <v>46299</v>
      </c>
      <c r="B35" s="245" t="inlineStr">
        <is>
          <t>Live two-tab structured-record clobber + nf_scene_versions cross-tab race repro (real credentialed account)</t>
        </is>
      </c>
    </row>
    <row r="36">
      <c r="A36" s="246" t="n">
        <v>46299</v>
      </c>
      <c r="B36" s="245" t="inlineStr">
        <is>
          <t>Real-signup flow: first-sign-in sample project prompt, exactly one Sample Project, tour persistence, unconfigured-AI guidance</t>
        </is>
      </c>
    </row>
    <row r="37">
      <c r="A37" s="246" t="n">
        <v>46299</v>
      </c>
      <c r="B37" s="245" t="inlineStr">
        <is>
          <t>Cross-browser tour/wizard persistence (fresh browser profile on established account)</t>
        </is>
      </c>
    </row>
    <row r="38">
      <c r="A38" s="246" t="n">
        <v>46300</v>
      </c>
      <c r="B38" s="245" t="inlineStr">
        <is>
          <t>Data safety gate and Export ownership gate: write each gate's evidence summary; move a gate to Passed only with evidence, otherwise list the exact remaining blocker</t>
        </is>
      </c>
    </row>
    <row r="39">
      <c r="A39" s="246" t="n">
        <v>46301</v>
      </c>
      <c r="B39" s="245" t="inlineStr">
        <is>
          <t>Desktop entitlement matrix: Free and Monthly are rejected; Lifetime and eligible Beta behaviour cannot be changed by editing cache/localStorage/user metadata</t>
        </is>
      </c>
    </row>
    <row r="40">
      <c r="A40" s="246" t="n">
        <v>46301</v>
      </c>
      <c r="B40" s="245" t="inlineStr">
        <is>
          <t>Device cap is enforced (not just a dismissible toast); licence activation with 30-day advisory recheck and offline grace</t>
        </is>
      </c>
    </row>
    <row r="41">
      <c r="A41" s="246" t="n">
        <v>46301</v>
      </c>
      <c r="B41" s="245" t="inlineStr">
        <is>
          <t>Platform-native commands: external links open default browser; vault reveal opens Finder on macOS and Explorer on Windows</t>
        </is>
      </c>
    </row>
    <row r="42">
      <c r="A42" s="246" t="n">
        <v>46301</v>
      </c>
      <c r="B42" s="245" t="inlineStr">
        <is>
          <t>Native/webview items outside the sandbox: focused-writing caret comfort, map draw/undo/PNG export, Supabase auth in WKWebView</t>
        </is>
      </c>
    </row>
    <row r="43">
      <c r="A43" s="246" t="n">
        <v>46301</v>
      </c>
      <c r="B43" s="245" t="inlineStr">
        <is>
          <t>Desktop account-only surface replaced by the full Lifetime workspace and device list works</t>
        </is>
      </c>
    </row>
    <row r="44">
      <c r="A44" s="246" t="n">
        <v>46302</v>
      </c>
      <c r="B44" s="245" t="inlineStr">
        <is>
          <t>Vault relocate/locate: move to empty folder, snapshots travel, app reloads, old copy remains, bad/missing path handled</t>
        </is>
      </c>
    </row>
    <row r="45">
      <c r="A45" s="246" t="n">
        <v>46302</v>
      </c>
      <c r="B45" s="245" t="inlineStr">
        <is>
          <t>Vault privacy inspection: vault.db and every snapshot contain no Supabase session, AI key, entitlement secret or unrelated browser key; document encryption-at-rest decision</t>
        </is>
      </c>
    </row>
    <row r="46">
      <c r="A46" s="246" t="n">
        <v>46302</v>
      </c>
      <c r="B46" s="245" t="inlineStr">
        <is>
          <t>Cloud-sync status UI: Syncing / Synced / failure states and Local-first manual sync controls</t>
        </is>
      </c>
    </row>
    <row r="47">
      <c r="A47" s="246" t="n">
        <v>46302</v>
      </c>
      <c r="B47" s="245" t="inlineStr">
        <is>
          <t>Map PNG export and rendered exports from the packaged desktop build (alongside ZIP/DOCX/PDF save dialogs)</t>
        </is>
      </c>
    </row>
    <row r="48">
      <c r="A48" s="246" t="n">
        <v>46303</v>
      </c>
      <c r="B48" s="245" t="inlineStr">
        <is>
          <t>Cloud sync fully removed on lapse; automatic resume on renewal; Storage tab shows only 'Cloud sync unavailable' + renew CTA</t>
        </is>
      </c>
    </row>
    <row r="49">
      <c r="A49" s="246" t="n">
        <v>46303</v>
      </c>
      <c r="B49" s="245" t="inlineStr">
        <is>
          <t>Renewal checkout (GBP 6 hosting) path from desktop: web cloud-required behaviour, entitlement metadata</t>
        </is>
      </c>
    </row>
    <row r="50">
      <c r="A50" s="246" t="n">
        <v>46304</v>
      </c>
      <c r="B50" s="245" t="inlineStr">
        <is>
          <t>Unsigned-app disclosure shown prominently before purchase (Pricing, Download, FAQ, checkout) plus Gatekeeper/SmartScreen bypass steps</t>
        </is>
      </c>
    </row>
    <row r="51">
      <c r="A51" s="246" t="n">
        <v>46304</v>
      </c>
      <c r="B51" s="245" t="inlineStr">
        <is>
          <t>Updater manifest covers every supported platform/architecture; test bad signature, missing platform, offline, interrupted update</t>
        </is>
      </c>
    </row>
    <row r="52">
      <c r="A52" s="246" t="n">
        <v>46305</v>
      </c>
      <c r="B52" s="245" t="inlineStr">
        <is>
          <t>Clean-machine Mac: Gatekeeper bypass steps as a customer, install, update from previous release, uninstall leaves vault intact</t>
        </is>
      </c>
    </row>
    <row r="53">
      <c r="A53" s="246" t="n">
        <v>46306</v>
      </c>
      <c r="B53" s="245" t="inlineStr">
        <is>
          <t>Daily-goal streaks: page refresh and project switching while a streak is active, at desktop/tablet/mobile widths</t>
        </is>
      </c>
    </row>
    <row r="54">
      <c r="A54" s="246" t="n">
        <v>46306</v>
      </c>
      <c r="B54" s="245" t="inlineStr">
        <is>
          <t>'Finalise draft' action appears for non-novel types and silently no-ops: hide or make it work, plus regression test</t>
        </is>
      </c>
    </row>
    <row r="55">
      <c r="A55" s="246" t="n">
        <v>46306</v>
      </c>
      <c r="B55" s="245" t="inlineStr">
        <is>
          <t>Novella and Short Story starter templates only show their own templates; project-type gate rows for both</t>
        </is>
      </c>
    </row>
    <row r="56">
      <c r="A56" s="246" t="n">
        <v>46307</v>
      </c>
      <c r="B56" s="245" t="inlineStr">
        <is>
          <t>D&amp;D/TTRPG project-type-aware AI behaviour (DM-side vs GM-side framing): prepare the guided checks; owner runs them with their own AI key on 18 Oct</t>
        </is>
      </c>
    </row>
    <row r="57">
      <c r="A57" s="246" t="n">
        <v>46307</v>
      </c>
      <c r="B57" s="245" t="inlineStr">
        <is>
          <t>Session prep/recap persistence, default-section visibility and export for both campaign types</t>
        </is>
      </c>
    </row>
    <row r="58">
      <c r="A58" s="246" t="n">
        <v>46308</v>
      </c>
      <c r="B58" s="245" t="inlineStr">
        <is>
          <t>Local write path / media upload: live-account upload QA well beyond the old 5-10 MB localStorage cap</t>
        </is>
      </c>
    </row>
    <row r="59">
      <c r="A59" s="246" t="n">
        <v>46308</v>
      </c>
      <c r="B59" s="245" t="inlineStr">
        <is>
          <t>Novel finalised-draft reader and snapshots: multiple snapshots, previous/next, non-novel hiding</t>
        </is>
      </c>
    </row>
    <row r="60">
      <c r="A60" s="246" t="n">
        <v>46308</v>
      </c>
      <c r="B60" s="245" t="inlineStr">
        <is>
          <t>Comic/Graphic Novel live-Supabase and large-project pass (browser-level QA already passed)</t>
        </is>
      </c>
    </row>
    <row r="61">
      <c r="A61" s="246" t="n">
        <v>46309</v>
      </c>
      <c r="B61" s="245" t="inlineStr">
        <is>
          <t>Reliable map builder acceptance: persistence, grid overlay, JSON import/export, restore from ZIP, high-res PNG, undo/redo, all four map types</t>
        </is>
      </c>
    </row>
    <row r="62">
      <c r="A62" s="246" t="n">
        <v>46310</v>
      </c>
      <c r="B62" s="245" t="inlineStr">
        <is>
          <t>Characters: live-sync/media, stale-selection repair and rendered export; Character journey/arc tracking acceptance</t>
        </is>
      </c>
    </row>
    <row r="63">
      <c r="A63" s="246" t="n">
        <v>46310</v>
      </c>
      <c r="B63" s="245" t="inlineStr">
        <is>
          <t>Locations link cleanup; Lore and Timeline/History on a real synced multi-project series</t>
        </is>
      </c>
    </row>
    <row r="64">
      <c r="A64" s="246" t="n">
        <v>46310</v>
      </c>
      <c r="B64" s="245" t="inlineStr">
        <is>
          <t>Character relationship mapping full-network canvas: browser and live-sync QA</t>
        </is>
      </c>
    </row>
    <row r="65">
      <c r="A65" s="246" t="n">
        <v>46310</v>
      </c>
      <c r="B65" s="245" t="inlineStr">
        <is>
          <t>Factions, family groups and Founders directory acceptance</t>
        </is>
      </c>
    </row>
    <row r="66">
      <c r="A66" s="246" t="n">
        <v>46310</v>
      </c>
      <c r="B66" s="245" t="inlineStr">
        <is>
          <t>Series management and cross-project references; configurable Schedule calendar; Focused writing mode; AI Import for all six types</t>
        </is>
      </c>
    </row>
    <row r="67">
      <c r="A67" s="246" t="n">
        <v>46310</v>
      </c>
      <c r="B67" s="245" t="inlineStr">
        <is>
          <t>Fresh mobile pass on modals/overlays; AI suggestion mode; theme customisation; corner-roundness save-to-profile</t>
        </is>
      </c>
    </row>
    <row r="68">
      <c r="A68" s="246" t="n">
        <v>46311</v>
      </c>
      <c r="B68" s="245" t="inlineStr">
        <is>
          <t>Windows: SmartScreen bypass steps, WebView2 install, Explorer reveal, updater, uninstall; close Desktop Gate and the desktop row of the Scope gate</t>
        </is>
      </c>
    </row>
    <row r="69">
      <c r="A69" s="246" t="n">
        <v>46312</v>
      </c>
      <c r="B69" s="245" t="inlineStr">
        <is>
          <t>Performance budgets: route/bundle budgets set and met; cold/warm load on low/mid hardware with a realistic 80k+ word project</t>
        </is>
      </c>
    </row>
    <row r="70">
      <c r="A70" s="246" t="n">
        <v>46312</v>
      </c>
      <c r="B70" s="245" t="inlineStr">
        <is>
          <t>Very large single scene with a note attached: fix or ship a documented limit (see Decisions D1)</t>
        </is>
      </c>
    </row>
    <row r="71">
      <c r="A71" s="246" t="n">
        <v>46312</v>
      </c>
      <c r="B71" s="245" t="inlineStr">
        <is>
          <t>Real iPhone Safari: address bar does not collapse (marked NOT fixed 23 Sep) and white bars above/below the page</t>
        </is>
      </c>
    </row>
    <row r="72">
      <c r="A72" s="246" t="n">
        <v>46312</v>
      </c>
      <c r="B72" s="245" t="inlineStr">
        <is>
          <t>Remaining contrast-pass installments; Chromium, Safari and Firefox at 375/768/desktop; keyboard-only and VoiceOver pass</t>
        </is>
      </c>
    </row>
    <row r="73">
      <c r="A73" s="246" t="n">
        <v>46313</v>
      </c>
      <c r="B73" s="245" t="inlineStr">
        <is>
          <t>AI key isolation and cross-device sync with two real accounts using OpenRouter and OpenAI keys; proxy transport</t>
        </is>
      </c>
    </row>
    <row r="74">
      <c r="A74" s="246" t="n">
        <v>46313</v>
      </c>
      <c r="B74" s="245" t="inlineStr">
        <is>
          <t>AI chat context controls and budget awareness with real OpenRouter and OpenAI models; grounding QA</t>
        </is>
      </c>
    </row>
    <row r="75">
      <c r="A75" s="246" t="n">
        <v>46313</v>
      </c>
      <c r="B75" s="245" t="inlineStr">
        <is>
          <t>Named-provider allow-list and untested-provider labelling behave as decided in D5/D9 (no custom endpoints, no advertising of other providers)</t>
        </is>
      </c>
    </row>
    <row r="76">
      <c r="A76" s="246" t="n">
        <v>46314</v>
      </c>
      <c r="B76" s="245" t="inlineStr">
        <is>
          <t>Full AI chat panel saved as a project entry and exported to Word; AI Import for all six project types using OpenRouter/OpenAI</t>
        </is>
      </c>
    </row>
    <row r="77">
      <c r="A77" s="246" t="n">
        <v>46314</v>
      </c>
      <c r="B77" s="245" t="inlineStr">
        <is>
          <t>docs/AI_PROVIDER_COMPLIANCE.md lists exactly OpenRouter and OpenAI as supported</t>
        </is>
      </c>
    </row>
    <row r="78">
      <c r="A78" s="246" t="n">
        <v>46314</v>
      </c>
      <c r="B78" s="245" t="inlineStr">
        <is>
          <t>Close the Project-type gate and Product acceptance evidence for all six types</t>
        </is>
      </c>
    </row>
    <row r="79">
      <c r="A79" s="246" t="n">
        <v>46315</v>
      </c>
      <c r="B79" s="245" t="inlineStr">
        <is>
          <t>AI provider scope (D5/D9): every mention outside OpenRouter and OpenAI is removed from Pricing, FAQ, Features, AI overview page, llms.txt, onboarding, emails and docs/AI_PROVIDER_COMPLIANCE.md; the in-app provider picker labels the others 'not tested / not officially supported'</t>
        </is>
      </c>
    </row>
    <row r="80">
      <c r="A80" s="246" t="n">
        <v>46315</v>
      </c>
      <c r="B80" s="245" t="inlineStr">
        <is>
          <t>Resolve every item in marketing-copy-review/COPY_CONFLICTS.md and verify Homepage, Pricing, Features, FAQ, Download, Founders, SEO pages, emails, legal modal, llms.txt, schema and Checkout say the same facts</t>
        </is>
      </c>
    </row>
    <row r="81">
      <c r="A81" s="246" t="n">
        <v>46315</v>
      </c>
      <c r="B81" s="245" t="inlineStr">
        <is>
          <t>Remove player/public-discovery implications from D&amp;D/TTRPG copy (shared projects, player portals, VTT and mobile apps are excluded)</t>
        </is>
      </c>
    </row>
    <row r="82">
      <c r="A82" s="246" t="n">
        <v>46315</v>
      </c>
      <c r="B82" s="245" t="inlineStr">
        <is>
          <t>SEO deployment and Search Console sitemap validation; landing page defects</t>
        </is>
      </c>
    </row>
    <row r="83">
      <c r="A83" s="246" t="n">
        <v>46315</v>
      </c>
      <c r="B83" s="245" t="inlineStr">
        <is>
          <t>Legal and promise gate: Terms/Privacy final owner review, Beta 30-day notice wording, Local Mode/expiry/quota promises</t>
        </is>
      </c>
    </row>
    <row r="84">
      <c r="A84" s="246" t="n">
        <v>46316</v>
      </c>
      <c r="B84" s="245" t="inlineStr">
        <is>
          <t>Durable Stripe event ledger: replay every supported event at least 3 times; entitlements, dates, Founder counts, emails change exactly once</t>
        </is>
      </c>
    </row>
    <row r="85">
      <c r="A85" s="246" t="n">
        <v>46316</v>
      </c>
      <c r="B85" s="245" t="inlineStr">
        <is>
          <t>Price/quota matrix (GBP 10 / 99 / 299 / 6) matches Stripe test Price objects and Checkout line items; repo search for stale prices</t>
        </is>
      </c>
    </row>
    <row r="86">
      <c r="A86" s="246" t="n">
        <v>46316</v>
      </c>
      <c r="B86" s="245" t="inlineStr">
        <is>
          <t>Remove/migrate the temporary paid-interest 'coming soon' flow and its automatic Beta entitlement; real checkout CTAs behind a launch switch</t>
        </is>
      </c>
    </row>
    <row r="87">
      <c r="A87" s="246" t="n">
        <v>46316</v>
      </c>
      <c r="B87" s="245" t="inlineStr">
        <is>
          <t>Founder concurrency: simultaneous checkouts never exceed the approved cap</t>
        </is>
      </c>
    </row>
    <row r="88">
      <c r="A88" s="246" t="n">
        <v>46316</v>
      </c>
      <c r="B88" s="245" t="inlineStr">
        <is>
          <t>Prepare the exact Vercel test-mode secrets swap and return-to-live checklist (names only, never values)</t>
        </is>
      </c>
    </row>
    <row r="89">
      <c r="A89" s="246" t="n">
        <v>46317</v>
      </c>
      <c r="B89" s="245" t="inlineStr">
        <is>
          <t>GBP 6 hosting renewal, failure/cancel checks, async payments, out-of-order webhooks</t>
        </is>
      </c>
    </row>
    <row r="90">
      <c r="A90" s="246" t="n">
        <v>46317</v>
      </c>
      <c r="B90" s="245" t="inlineStr">
        <is>
          <t>Live-account QA of the 'Downgrade to Free' fix for manually-upgraded accounts and real Stripe portal unaffected</t>
        </is>
      </c>
    </row>
    <row r="91">
      <c r="A91" s="246" t="n">
        <v>46318</v>
      </c>
      <c r="B91" s="245" t="inlineStr">
        <is>
          <t>Return-to-live prepared: swap back to live secrets/prices/webhook is a written one-step runbook; live configuration review without a purchase</t>
        </is>
      </c>
    </row>
    <row r="92">
      <c r="A92" s="246" t="n">
        <v>46318</v>
      </c>
      <c r="B92" s="245" t="inlineStr">
        <is>
          <t>Prepared release sets YOW_BETA_ENROLLMENT_CLOSED=true and stamps beta_notice_started_at to the launch timestamp; existing testers keep access/exports</t>
        </is>
      </c>
    </row>
    <row r="93">
      <c r="A93" s="246" t="n">
        <v>46318</v>
      </c>
      <c r="B93" s="245" t="inlineStr">
        <is>
          <t>Support inbox and email checks: support@ and founders@ receive and can reply; welcome/reset emails come from the right sender</t>
        </is>
      </c>
    </row>
    <row r="94">
      <c r="A94" s="246" t="n">
        <v>46324</v>
      </c>
      <c r="B94" s="245" t="inlineStr">
        <is>
          <t>Final Launch Readiness Gate table update: every gate Passed with evidence or an explicit re-decision; production-deploy checks queued for 1 Nov</t>
        </is>
      </c>
    </row>
    <row r="95">
      <c r="A95" s="246" t="n">
        <v>46325</v>
      </c>
      <c r="B95" s="245" t="inlineStr">
        <is>
          <t>Supabase and project backups taken and restore-tested; checkout-disable switch and rollback tested on the rehearsal</t>
        </is>
      </c>
    </row>
    <row r="96">
      <c r="A96" s="246" t="n">
        <v>46327</v>
      </c>
      <c r="B96" s="245" t="inlineStr">
        <is>
          <t>Post-deploy production checks: security headers, canonical redirect, Founder slot display, checkout, entitlement, save/export</t>
        </is>
      </c>
    </row>
    <row r="97">
      <c r="A97" s="246" t="n">
        <v>46328</v>
      </c>
      <c r="B97" s="245" t="inlineStr">
        <is>
          <t>Search Console/analytics/support monitoring active; approved marketing prepared for the owner to publish</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80" customWidth="1" min="2" max="2"/>
    <col width="30" customWidth="1" min="3" max="3"/>
    <col width="10" customWidth="1" min="4" max="4"/>
    <col width="12" customWidth="1" min="5" max="5"/>
    <col width="12" customWidth="1" min="6" max="6"/>
    <col width="10" customWidth="1" min="7" max="7"/>
    <col width="13" customWidth="1" min="8" max="8"/>
    <col width="60" customWidth="1" min="9" max="9"/>
  </cols>
  <sheetData>
    <row r="1">
      <c r="A1" s="243" t="inlineStr">
        <is>
          <t>Owner overflow — extra checks that need you</t>
        </is>
      </c>
    </row>
    <row r="3">
      <c r="A3" s="244" t="inlineStr">
        <is>
          <t>ID</t>
        </is>
      </c>
      <c r="B3" s="244" t="inlineStr">
        <is>
          <t>What you do</t>
        </is>
      </c>
      <c r="C3" s="244" t="inlineStr">
        <is>
          <t>Needs</t>
        </is>
      </c>
      <c r="D3" s="244" t="inlineStr">
        <is>
          <t>Est. minutes</t>
        </is>
      </c>
      <c r="E3" s="244" t="inlineStr">
        <is>
          <t>Scheduled</t>
        </is>
      </c>
      <c r="F3" s="244" t="inlineStr">
        <is>
          <t>Deadline</t>
        </is>
      </c>
      <c r="G3" s="244" t="inlineStr">
        <is>
          <t>Hard gate?</t>
        </is>
      </c>
      <c r="H3" s="244" t="inlineStr">
        <is>
          <t>Status</t>
        </is>
      </c>
      <c r="I3" s="244" t="inlineStr">
        <is>
          <t>Notes</t>
        </is>
      </c>
    </row>
    <row r="4">
      <c r="A4" s="245" t="inlineStr">
        <is>
          <t>O01</t>
        </is>
      </c>
      <c r="B4" s="245" t="inlineStr">
        <is>
          <t>Create a brand-new test account and walk the first-run flow: sample-project prompt, exactly one Sample Project, tours dismissed stay dismissed on a fresh browser, clean AI setup message.</t>
        </is>
      </c>
      <c r="C4" s="245" t="inlineStr">
        <is>
          <t>Test alias email + second browser</t>
        </is>
      </c>
      <c r="D4" s="245" t="n">
        <v>40</v>
      </c>
      <c r="E4" s="246" t="n">
        <v>46298</v>
      </c>
      <c r="F4" s="246" t="n">
        <v>46299</v>
      </c>
      <c r="G4" s="245" t="inlineStr">
        <is>
          <t>Yes</t>
        </is>
      </c>
      <c r="H4" s="245" t="inlineStr">
        <is>
          <t>Done</t>
        </is>
      </c>
      <c r="I4" s="245" t="inlineStr">
        <is>
          <t>Done - Owner-attested 30 Sep: fresh-account flow already run many times; no formal step-by-step evidence saved. Accepted as passed by owner decision.</t>
        </is>
      </c>
    </row>
    <row r="5">
      <c r="A5" s="245" t="inlineStr">
        <is>
          <t>O02</t>
        </is>
      </c>
      <c r="B5" s="245" t="inlineStr">
        <is>
          <t>Supabase dashboard: switch on leaked-password protection (if your plan offers it). The AI handles the duplicate scenes-policy clean-up separately.</t>
        </is>
      </c>
      <c r="C5" s="245" t="inlineStr">
        <is>
          <t>Supabase dashboard (guided)</t>
        </is>
      </c>
      <c r="D5" s="245" t="n">
        <v>15</v>
      </c>
      <c r="E5" s="246" t="n">
        <v>46298</v>
      </c>
      <c r="F5" s="246" t="n">
        <v>46303</v>
      </c>
      <c r="G5" s="245" t="inlineStr">
        <is>
          <t>No</t>
        </is>
      </c>
      <c r="H5" s="245" t="inlineStr">
        <is>
          <t>Done</t>
        </is>
      </c>
      <c r="I5" s="245" t="inlineStr">
        <is>
          <t>Done - Leaked-password protection not offered on current plan (owner 30 Sep). Accepted Advisor warning; AI verifies password policy on 8 Oct.</t>
        </is>
      </c>
    </row>
    <row r="6">
      <c r="A6" s="245" t="inlineStr">
        <is>
          <t>O03</t>
        </is>
      </c>
      <c r="B6" s="245" t="inlineStr">
        <is>
          <t>Supabase read-only check after deleting a disposable project: confirm zero scene rows remain for it.</t>
        </is>
      </c>
      <c r="C6" s="245" t="inlineStr">
        <is>
          <t>Supabase dashboard (guided, read-only)</t>
        </is>
      </c>
      <c r="D6" s="245" t="n">
        <v>10</v>
      </c>
      <c r="E6" s="246" t="n">
        <v>46298</v>
      </c>
      <c r="F6" s="246" t="n">
        <v>46300</v>
      </c>
      <c r="G6" s="245" t="inlineStr">
        <is>
          <t>Yes</t>
        </is>
      </c>
      <c r="H6" s="245" t="inlineStr">
        <is>
          <t>Done</t>
        </is>
      </c>
      <c r="I6" s="245" t="inlineStr">
        <is>
          <t>Done 3 Oct - owner deleted a disposable project on test2; no scene rows remained. Check also found 536 orphaned scene rows from older deletes/deleted accounts (account-deletion gap fixed in code); cleanup planned 4 Oct, see QA_PLAN.</t>
        </is>
      </c>
    </row>
    <row r="7">
      <c r="A7" s="245" t="inlineStr">
        <is>
          <t>O14</t>
        </is>
      </c>
      <c r="B7" s="245" t="inlineStr">
        <is>
          <t>Send a test email to support@yourownworld.co.uk and founders@yourownworld.co.uk, reply from each mailbox, and confirm both arrive and the reply shows the right sender.</t>
        </is>
      </c>
      <c r="C7" s="245" t="inlineStr">
        <is>
          <t>Your mailboxes</t>
        </is>
      </c>
      <c r="D7" s="245" t="n">
        <v>15</v>
      </c>
      <c r="E7" s="246" t="n">
        <v>46298</v>
      </c>
      <c r="F7" s="246" t="n">
        <v>46323</v>
      </c>
      <c r="G7" s="245" t="inlineStr">
        <is>
          <t>No</t>
        </is>
      </c>
      <c r="H7" s="245" t="inlineStr">
        <is>
          <t>Done</t>
        </is>
      </c>
      <c r="I7" s="245" t="inlineStr">
        <is>
          <t>Done - Both test emails arrived; reply sender showed 'Morgan Bishop, yourownworld.admin@gmail.com' instead of the support@/founders@ address. Follow-up O16.</t>
        </is>
      </c>
    </row>
    <row r="8">
      <c r="A8" s="245" t="inlineStr">
        <is>
          <t>O16</t>
        </is>
      </c>
      <c r="B8" s="245" t="inlineStr">
        <is>
          <t>Make replies from support@ and founders@ show the YOW address: add both as Gmail 'Send mail as' aliases that send through Resend SMTP (Cloudflare Email Routing only receives). Steps are in the Do Now sheet.</t>
        </is>
      </c>
      <c r="C8" s="245" t="inlineStr">
        <is>
          <t>Gmail settings + domain mail setup</t>
        </is>
      </c>
      <c r="D8" s="245" t="n">
        <v>20</v>
      </c>
      <c r="E8" s="246" t="n">
        <v>46298</v>
      </c>
      <c r="F8" s="246" t="n">
        <v>46323</v>
      </c>
      <c r="G8" s="245" t="inlineStr">
        <is>
          <t>No</t>
        </is>
      </c>
      <c r="H8" s="245" t="inlineStr">
        <is>
          <t>Done</t>
        </is>
      </c>
      <c r="I8" s="245" t="inlineStr">
        <is>
          <t>Done 3 Oct - support@ Gmail send-as set up via Resend SMTP. Owner decision: no founders@ send-as; replies go out from support@ only.</t>
        </is>
      </c>
    </row>
    <row r="9">
      <c r="A9" s="245" t="inlineStr">
        <is>
          <t>O04</t>
        </is>
      </c>
      <c r="B9" s="245" t="inlineStr">
        <is>
          <t>Two real browser tabs on the same test account: structured-record clobber test and the same-scene race repro.</t>
        </is>
      </c>
      <c r="C9" s="245" t="inlineStr">
        <is>
          <t>Two tabs, test account</t>
        </is>
      </c>
      <c r="D9" s="245" t="n">
        <v>30</v>
      </c>
      <c r="E9" s="246" t="n">
        <v>46300</v>
      </c>
      <c r="F9" s="246" t="n">
        <v>46300</v>
      </c>
      <c r="G9" s="245" t="inlineStr">
        <is>
          <t>Yes</t>
        </is>
      </c>
      <c r="H9" s="245" t="inlineStr">
        <is>
          <t>Done</t>
        </is>
      </c>
      <c r="I9" s="245" t="inlineStr">
        <is>
          <t>Run early 3 Oct: scene race PASS; character (structured record) clobber FAIL, fixed same evening (migration 20261003140000 + client merge, see QA_PLAN "2026-10-03 cross-browser record clobber"). Owner reported 4 Oct (evening): live two-tab re-test PASSED (owner-reported, no screenshot evidence). Done 4 Oct.</t>
        </is>
      </c>
    </row>
    <row r="10">
      <c r="A10" s="245" t="inlineStr">
        <is>
          <t>O05</t>
        </is>
      </c>
      <c r="B10" s="245" t="inlineStr">
        <is>
          <t>Live rate-limit check: send 6 feedback requests from one connection, confirm the 6th is refused and the block clears.</t>
        </is>
      </c>
      <c r="C10" s="245" t="inlineStr">
        <is>
          <t>Production site (guided)</t>
        </is>
      </c>
      <c r="D10" s="245" t="n">
        <v>20</v>
      </c>
      <c r="E10" s="246" t="n">
        <v>46300</v>
      </c>
      <c r="F10" s="246" t="n">
        <v>46300</v>
      </c>
      <c r="G10" s="245" t="inlineStr">
        <is>
          <t>No</t>
        </is>
      </c>
      <c r="H10" s="245" t="inlineStr">
        <is>
          <t>Done</t>
        </is>
      </c>
      <c r="I10" s="245" t="inlineStr">
        <is>
          <t>Done 4 Oct - owner reported the live feedback rate-limit check passed (owner-reported, no screenshot evidence).</t>
        </is>
      </c>
    </row>
    <row r="11">
      <c r="A11" s="245" t="inlineStr">
        <is>
          <t>O06</t>
        </is>
      </c>
      <c r="B11" s="245" t="inlineStr">
        <is>
          <t>Arrange a clean Windows PC (or rented cloud Windows PC) for 16 Oct and tell me the Windows version.</t>
        </is>
      </c>
      <c r="C11" s="245" t="inlineStr">
        <is>
          <t>Windows machine</t>
        </is>
      </c>
      <c r="D11" s="245" t="n">
        <v>60</v>
      </c>
      <c r="E11" s="246" t="n">
        <v>46304</v>
      </c>
      <c r="F11" s="246" t="n">
        <v>46304</v>
      </c>
      <c r="G11" s="245" t="inlineStr">
        <is>
          <t>Yes</t>
        </is>
      </c>
      <c r="H11" s="245" t="inlineStr">
        <is>
          <t>Done</t>
        </is>
      </c>
      <c r="I11" s="245" t="inlineStr">
        <is>
          <t>Done - Owner has a real Windows PC with admin rights (30 Sep). Exact Windows version to be read with winver before 16 Oct.</t>
        </is>
      </c>
    </row>
    <row r="12">
      <c r="A12" s="245" t="inlineStr">
        <is>
          <t>O08</t>
        </is>
      </c>
      <c r="B12" s="245" t="inlineStr">
        <is>
          <t>Upload larger images to a disposable project on a real account and confirm the storage figure and cap behaviour.</t>
        </is>
      </c>
      <c r="C12" s="245" t="inlineStr">
        <is>
          <t>Test account</t>
        </is>
      </c>
      <c r="D12" s="245" t="n">
        <v>20</v>
      </c>
      <c r="E12" s="246" t="n">
        <v>46304</v>
      </c>
      <c r="F12" s="246" t="n">
        <v>46308</v>
      </c>
      <c r="G12" s="245" t="inlineStr">
        <is>
          <t>Yes</t>
        </is>
      </c>
      <c r="H12" s="245" t="inlineStr">
        <is>
          <t>Done</t>
        </is>
      </c>
      <c r="I12" s="245" t="inlineStr">
        <is>
          <t>Done - owner reported PASS 6 Oct (early).</t>
        </is>
      </c>
    </row>
    <row r="13">
      <c r="A13" s="245" t="inlineStr">
        <is>
          <t>O09</t>
        </is>
      </c>
      <c r="B13" s="245" t="inlineStr">
        <is>
          <t>On a real account with a two-project series, check Characters, Locations, Lore and Timeline sync forward to the second project.</t>
        </is>
      </c>
      <c r="C13" s="245" t="inlineStr">
        <is>
          <t>Test account with a series</t>
        </is>
      </c>
      <c r="D13" s="245" t="n">
        <v>45</v>
      </c>
      <c r="E13" s="246" t="n">
        <v>46304</v>
      </c>
      <c r="F13" s="246" t="n">
        <v>46310</v>
      </c>
      <c r="G13" s="245" t="inlineStr">
        <is>
          <t>No</t>
        </is>
      </c>
      <c r="H13" s="245" t="inlineStr">
        <is>
          <t>Done</t>
        </is>
      </c>
      <c r="I13" s="245" t="inlineStr">
        <is>
          <t>Done - owner reported PASS 6 Oct (early).</t>
        </is>
      </c>
    </row>
    <row r="14">
      <c r="A14" s="245" t="inlineStr">
        <is>
          <t>O10</t>
        </is>
      </c>
      <c r="B14" s="245" t="inlineStr">
        <is>
          <t>Firefox and Safari passes at phone/tablet/desktop widths plus a VoiceOver and keyboard-only run. Runs inside the 17 Oct device blocks.</t>
        </is>
      </c>
      <c r="C14" s="245" t="inlineStr">
        <is>
          <t>Firefox, Safari, VoiceOver</t>
        </is>
      </c>
      <c r="D14" s="245" t="n">
        <v>90</v>
      </c>
      <c r="E14" s="246" t="n">
        <v>46312</v>
      </c>
      <c r="F14" s="246" t="n">
        <v>46312</v>
      </c>
      <c r="G14" s="245" t="inlineStr">
        <is>
          <t>No</t>
        </is>
      </c>
      <c r="H14" s="245" t="inlineStr">
        <is>
          <t>Not started</t>
        </is>
      </c>
      <c r="I14" s="245" t="inlineStr">
        <is>
          <t>Not started</t>
        </is>
      </c>
    </row>
    <row r="15">
      <c r="A15" s="245" t="inlineStr">
        <is>
          <t>O07</t>
        </is>
      </c>
      <c r="B15" s="245" t="inlineStr">
        <is>
          <t>Your own OpenRouter and OpenAI keys (never pasted into chat): DM/GM framing, key isolation across two accounts, context controls. Runs inside the 18-19 Oct owner blocks. Other providers are not tested.</t>
        </is>
      </c>
      <c r="C15" s="245" t="inlineStr">
        <is>
          <t>Your AI key + two test accounts</t>
        </is>
      </c>
      <c r="D15" s="245" t="n">
        <v>60</v>
      </c>
      <c r="E15" s="246" t="n">
        <v>46313</v>
      </c>
      <c r="F15" s="246" t="n">
        <v>46314</v>
      </c>
      <c r="G15" s="245" t="inlineStr">
        <is>
          <t>Yes</t>
        </is>
      </c>
      <c r="H15" s="245" t="inlineStr">
        <is>
          <t>Done</t>
        </is>
      </c>
      <c r="I15" s="245" t="inlineStr">
        <is>
          <t>Done 19 Oct - owner reported passed (no screenshots).</t>
        </is>
      </c>
    </row>
    <row r="16">
      <c r="A16" s="245" t="inlineStr">
        <is>
          <t>O11</t>
        </is>
      </c>
      <c r="B16" s="245" t="inlineStr">
        <is>
          <t>Search Console: confirm the sitemap is read after deploy and request indexing for the key pages.</t>
        </is>
      </c>
      <c r="C16" s="245" t="inlineStr">
        <is>
          <t>Search Console</t>
        </is>
      </c>
      <c r="D16" s="245" t="n">
        <v>10</v>
      </c>
      <c r="E16" s="246" t="n">
        <v>46318</v>
      </c>
      <c r="F16" s="246" t="n">
        <v>46320</v>
      </c>
      <c r="G16" s="245" t="inlineStr">
        <is>
          <t>No</t>
        </is>
      </c>
      <c r="H16" s="245" t="inlineStr">
        <is>
          <t>Done</t>
        </is>
      </c>
      <c r="I16" s="245" t="inlineStr">
        <is>
          <t>Done 22 Oct - www sitemap submitted in the Domain property; Success, 15 pages discovered (screenshot).</t>
        </is>
      </c>
    </row>
    <row r="17">
      <c r="A17" s="245" t="inlineStr">
        <is>
          <t>O12</t>
        </is>
      </c>
      <c r="B17" s="245" t="inlineStr">
        <is>
          <t>Stripe and Vercel dashboards (guided, names only): confirm live keys/prices/webhook events are ready for launch, without a purchase.</t>
        </is>
      </c>
      <c r="C17" s="245" t="inlineStr">
        <is>
          <t>Stripe + Vercel dashboards</t>
        </is>
      </c>
      <c r="D17" s="245" t="n">
        <v>30</v>
      </c>
      <c r="E17" s="246" t="n">
        <v>46319</v>
      </c>
      <c r="F17" s="246" t="n">
        <v>46323</v>
      </c>
      <c r="G17" s="245" t="inlineStr">
        <is>
          <t>Yes</t>
        </is>
      </c>
      <c r="H17" s="245" t="inlineStr">
        <is>
          <t>Not started</t>
        </is>
      </c>
      <c r="I17" s="245" t="inlineStr">
        <is>
          <t>Not started</t>
        </is>
      </c>
    </row>
    <row r="18">
      <c r="A18" s="245" t="inlineStr">
        <is>
          <t>O13</t>
        </is>
      </c>
      <c r="B18" s="245" t="inlineStr">
        <is>
          <t>Vercel: confirm the Beta-close setting exists (name only, do not enable it yet) and approve the Beta-close timestamp plan.</t>
        </is>
      </c>
      <c r="C18" s="245" t="inlineStr">
        <is>
          <t>Vercel dashboard (guided)</t>
        </is>
      </c>
      <c r="D18" s="245" t="n">
        <v>10</v>
      </c>
      <c r="E18" s="246" t="n">
        <v>46319</v>
      </c>
      <c r="F18" s="246" t="n">
        <v>46323</v>
      </c>
      <c r="G18" s="245" t="inlineStr">
        <is>
          <t>Yes</t>
        </is>
      </c>
      <c r="H18" s="245" t="inlineStr">
        <is>
          <t>Not started</t>
        </is>
      </c>
      <c r="I18" s="245" t="inlineStr">
        <is>
          <t>Not started</t>
        </is>
      </c>
    </row>
    <row r="19">
      <c r="A19" s="245" t="inlineStr">
        <is>
          <t>O15</t>
        </is>
      </c>
      <c r="B19" s="245" t="inlineStr">
        <is>
          <t>After deploy on 1 Nov: open the live site DevTools and confirm headers, the www redirect, and one Founder slot display.</t>
        </is>
      </c>
      <c r="C19" s="245" t="inlineStr">
        <is>
          <t>Production site (guided)</t>
        </is>
      </c>
      <c r="D19" s="245" t="n">
        <v>15</v>
      </c>
      <c r="E19" s="246" t="n">
        <v>46327</v>
      </c>
      <c r="F19" s="246" t="n">
        <v>46327</v>
      </c>
      <c r="G19" s="245" t="inlineStr">
        <is>
          <t>Yes</t>
        </is>
      </c>
      <c r="H19" s="245" t="inlineStr">
        <is>
          <t>Not started</t>
        </is>
      </c>
      <c r="I19" s="245" t="inlineStr">
        <is>
          <t>Not started</t>
        </is>
      </c>
    </row>
    <row r="20"/>
    <row r="21">
      <c r="C21" t="inlineStr">
        <is>
          <t>Remaining minutes</t>
        </is>
      </c>
      <c r="D21">
        <f>SUMIF(H4:H19,"&lt;&gt;Done",D4:D19)</f>
        <v/>
      </c>
    </row>
  </sheetData>
  <dataValidations count="1">
    <dataValidation sqref="H4:H19" showDropDown="0" showInputMessage="0" showErrorMessage="0" allowBlank="1" type="list">
      <formula1>"Not started,In progress,Done,Blocked"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6" customWidth="1" min="1" max="1"/>
    <col width="70" customWidth="1" min="2" max="2"/>
    <col width="50" customWidth="1" min="3" max="3"/>
    <col width="12" customWidth="1" min="4" max="4"/>
    <col width="70" customWidth="1" min="5" max="5"/>
  </cols>
  <sheetData>
    <row r="1">
      <c r="A1" s="243" t="inlineStr">
        <is>
          <t>Owner decisions (from docs/ROADMAP.md)</t>
        </is>
      </c>
    </row>
    <row r="3">
      <c r="A3" s="244" t="inlineStr">
        <is>
          <t>ID</t>
        </is>
      </c>
      <c r="B3" s="244" t="inlineStr">
        <is>
          <t>Decision</t>
        </is>
      </c>
      <c r="C3" s="244" t="inlineStr">
        <is>
          <t>Recommended default</t>
        </is>
      </c>
      <c r="D3" s="244" t="inlineStr">
        <is>
          <t>Decide by</t>
        </is>
      </c>
      <c r="E3" s="244" t="inlineStr">
        <is>
          <t>Owner decision</t>
        </is>
      </c>
    </row>
    <row r="4">
      <c r="A4" s="245" t="inlineStr">
        <is>
          <t>D5</t>
        </is>
      </c>
      <c r="B4" s="245" t="inlineStr">
        <is>
          <t>Which AI providers does launch advertise?</t>
        </is>
      </c>
      <c r="C4" s="245" t="inlineStr">
        <is>
          <t>OpenRouter and OpenAI only.</t>
        </is>
      </c>
      <c r="D4" s="246" t="n">
        <v>46295</v>
      </c>
      <c r="E4" s="245" t="inlineStr">
        <is>
          <t>Advertise and support only OpenRouter and OpenAI (the providers the owner can access and test). Other providers are not advertised, not live-tested, and labelled 'not tested' in the app (default treatment, see D9).</t>
        </is>
      </c>
    </row>
    <row r="5">
      <c r="A5" s="245" t="inlineStr">
        <is>
          <t>D2</t>
        </is>
      </c>
      <c r="B5" s="245" t="inlineStr">
        <is>
          <t>JavaScript type checking, React-compiler warnings and stricter CI gates: do they block launch?</t>
        </is>
      </c>
      <c r="C5" s="245" t="inlineStr">
        <is>
          <t>Park until after launch; quality hardening, not one of the seven blocker categories.</t>
        </is>
      </c>
      <c r="D5" s="246" t="n">
        <v>46298</v>
      </c>
      <c r="E5" s="245" t="inlineStr">
        <is>
          <t>Accepted default: parked until after launch.</t>
        </is>
      </c>
    </row>
    <row r="6">
      <c r="A6" s="245" t="inlineStr">
        <is>
          <t>D3</t>
        </is>
      </c>
      <c r="B6" s="245" t="inlineStr">
        <is>
          <t>Desktop vault encryption at rest: encrypt, or launch unencrypted with clear disclosure?</t>
        </is>
      </c>
      <c r="C6" s="245" t="inlineStr">
        <is>
          <t>Launch with disclosure and record the decision; revisit later.</t>
        </is>
      </c>
      <c r="D6" s="246" t="n">
        <v>46301</v>
      </c>
      <c r="E6" s="245" t="inlineStr">
        <is>
          <t>Accepted default: launch with disclosure; record the decision. Recorded 4 Oct: disclosure already live in the Privacy modal and FAQ ("not separately encrypted by YOW"); no encryption at launch.</t>
        </is>
      </c>
    </row>
    <row r="7">
      <c r="A7" s="245" t="inlineStr">
        <is>
          <t>D1</t>
        </is>
      </c>
      <c r="B7" s="245" t="inlineStr">
        <is>
          <t>A very large scene (30k+ words) with a note attached types slowly. Fixing it properly is a large change. Build it, or launch with a documented soft limit and in-app warning?</t>
        </is>
      </c>
      <c r="C7" s="245" t="inlineStr">
        <is>
          <t>Ship a documented limit and warning; keep the large fix for after launch (not a data-loss or broken-save blocker).</t>
        </is>
      </c>
      <c r="D7" s="246" t="n">
        <v>46306</v>
      </c>
      <c r="E7" s="245" t="inlineStr">
        <is>
          <t>Accepted default: ship a documented limit and in-app warning for very large scenes; full fix after launch.</t>
        </is>
      </c>
    </row>
    <row r="8">
      <c r="A8" s="245" t="inlineStr">
        <is>
          <t>D4</t>
        </is>
      </c>
      <c r="B8" s="245" t="inlineStr">
        <is>
          <t>If Windows fails its clean-machine test on 16 Oct: delay launch, or launch Mac-only with Windows following?</t>
        </is>
      </c>
      <c r="C8" s="245" t="inlineStr">
        <is>
          <t>Decide now; Lifetime is promised for macOS and Windows. Recommended: delay only if Windows data-loss/save/export fails; otherwise fix and retest in the buffer.</t>
        </is>
      </c>
      <c r="D8" s="246" t="n">
        <v>46310</v>
      </c>
      <c r="E8" s="245" t="inlineStr">
        <is>
          <t>Accepted default: delay only if Windows data-loss/save/export fails; otherwise fix and retest in the buffer.</t>
        </is>
      </c>
    </row>
    <row r="9">
      <c r="A9" s="245" t="inlineStr">
        <is>
          <t>D11</t>
        </is>
      </c>
      <c r="B9" s="245" t="inlineStr">
        <is>
          <t>After the 90-day grace, do lapsed Lifetime web users lose cloud sync (PRD: archive) or keep the Free cloud fallback (earlier decision)?</t>
        </is>
      </c>
      <c r="C9" s="245" t="inlineStr">
        <is>
          <t>Follow the PRD: archive after grace (cloud writes stop, data kept, export + Local Mode always work). Dormant until Nov 2029.</t>
        </is>
      </c>
      <c r="D9" s="246" t="n">
        <v>46315</v>
      </c>
      <c r="E9" s="245" t="inlineStr">
        <is>
          <t>Proposed 1 Oct; proceeding with the default unless the owner objects.</t>
        </is>
      </c>
    </row>
    <row r="10">
      <c r="A10" s="245" t="inlineStr">
        <is>
          <t>D9</t>
        </is>
      </c>
      <c r="B10" s="245" t="inlineStr">
        <is>
          <t>Follow-on to D5: what happens to the other providers already in the app (Google, Anthropic, Groq, Mistral, Together)?</t>
        </is>
      </c>
      <c r="C10" s="245" t="inlineStr">
        <is>
          <t>Keep working but labelled 'not tested / not officially supported'; nothing advertised. (Alternative: hide them.)</t>
        </is>
      </c>
      <c r="D10" s="246" t="n">
        <v>46310</v>
      </c>
      <c r="E10" s="245" t="inlineStr">
        <is>
          <t>Accepted default (follow-on to D5): keep the other providers' code working but label them 'not tested / not officially supported' in the AI settings picker and remove them from all marketing and docs. Owner can instead ask for them to be hidden.</t>
        </is>
      </c>
    </row>
    <row r="11">
      <c r="A11" s="245" t="inlineStr">
        <is>
          <t>D10</t>
        </is>
      </c>
      <c r="B11" s="245" t="inlineStr">
        <is>
          <t>Replies to customers currently come from yourownworld.admin@gmail.com (shown as 'Morgan Bishop'), not support@/founders@yourownworld.co.uk, which the Terms and Privacy pages publish. Fix before launch, or accept?</t>
        </is>
      </c>
      <c r="C11" s="245" t="inlineStr">
        <is>
          <t>Fix before launch (O16): it keeps the published support address consistent and avoids replies landing in spam.</t>
        </is>
      </c>
      <c r="D11" s="246" t="n">
        <v>46314</v>
      </c>
      <c r="E11" s="245" t="inlineStr">
        <is>
          <t>Fix before launch (owner confirmed 30 Sep). Done 3 Oct via O16 for support@; owner chose to send only from support@ (no founders@ send-as).</t>
        </is>
      </c>
    </row>
    <row r="12">
      <c r="A12" s="245" t="inlineStr">
        <is>
          <t>D8</t>
        </is>
      </c>
      <c r="B12" s="245" t="inlineStr">
        <is>
          <t>Resume Stripe work: the roadmap parked payments (18 Sep); this sprint schedules 20-23 Oct for it.</t>
        </is>
      </c>
      <c r="C12" s="245" t="inlineStr">
        <is>
          <t>Confirm; PAYMENT_ROADMAP.md stays the Stripe tracker while the sprint drives the schedule.</t>
        </is>
      </c>
      <c r="D12" s="246" t="n">
        <v>46314</v>
      </c>
      <c r="E12" s="245" t="inlineStr">
        <is>
          <t>Accepted default: Stripe work resumes 20-24 Oct; PAYMENT_ROADMAP.md stays the tracker.</t>
        </is>
      </c>
    </row>
    <row r="13">
      <c r="A13" s="245" t="inlineStr">
        <is>
          <t>D7</t>
        </is>
      </c>
      <c r="B13" s="245" t="inlineStr">
        <is>
          <t>Remove the temporary 'Paid plans are coming soon' interest flow when checkout goes live?</t>
        </is>
      </c>
      <c r="C13" s="245" t="inlineStr">
        <is>
          <t>Yes, remove it; it grants automatic Beta access and conflicts with real checkout.</t>
        </is>
      </c>
      <c r="D13" s="246" t="n">
        <v>46315</v>
      </c>
      <c r="E13" s="245" t="inlineStr">
        <is>
          <t>Accepted default: remove the 'coming soon' interest flow when checkout goes live.</t>
        </is>
      </c>
    </row>
    <row r="14">
      <c r="A14" s="245" t="inlineStr">
        <is>
          <t>D6</t>
        </is>
      </c>
      <c r="B14" s="245" t="inlineStr">
        <is>
          <t>Latest date you would still accept a launch slip, and the fallback date.</t>
        </is>
      </c>
      <c r="C14" s="245" t="inlineStr">
        <is>
          <t>Pick a cut-off by 24 Oct so nothing is decided under pressure. Launch stays 1-2 Nov unless a gate fails.</t>
        </is>
      </c>
      <c r="D14" s="246" t="n">
        <v>46319</v>
      </c>
      <c r="E14" s="245" t="inlineStr">
        <is>
          <t>Accepted default: launch date is fixed at 1 Nov (quiet release; public 2 Nov). Owner to name a fallback date by 24 Oct.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2026-10-12T21:02:55Z</dcterms:created>
  <dcterms:modified xmlns:dcterms="http://purl.org/dc/terms/" xmlns:xsi="http://www.w3.org/2001/XMLSchema-instance" xsi:type="dcterms:W3CDTF">2026-10-22T15:07:47Z</dcterms:modified>
</cp:coreProperties>
</file>